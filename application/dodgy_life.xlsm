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E08\OneDrive - St Pius X College\2019\IPT\TASK2_IPT_DodgyLife\application\"/>
    </mc:Choice>
  </mc:AlternateContent>
  <xr:revisionPtr revIDLastSave="0" documentId="13_ncr:1_{CA4B0601-4567-48AE-B06E-3DFC9F4D29C0}" xr6:coauthVersionLast="43" xr6:coauthVersionMax="43" xr10:uidLastSave="{00000000-0000-0000-0000-000000000000}"/>
  <bookViews>
    <workbookView showSheetTabs="0" xWindow="-103" yWindow="-103" windowWidth="23657" windowHeight="15240" xr2:uid="{A11D5019-52B4-4273-8C82-94A4FB31C7E7}"/>
  </bookViews>
  <sheets>
    <sheet name="Login" sheetId="1" r:id="rId1"/>
    <sheet name="Main Menu" sheetId="8" r:id="rId2"/>
    <sheet name="Quote Entry" sheetId="2" r:id="rId3"/>
    <sheet name="Quotation" sheetId="4" r:id="rId4"/>
    <sheet name="Admin Premiums" sheetId="6" r:id="rId5"/>
    <sheet name="Datastore" sheetId="7" r:id="rId6"/>
    <sheet name="Lookup" sheetId="9" r:id="rId7"/>
  </sheets>
  <functionGroups builtInGroupCount="19"/>
  <definedNames>
    <definedName name="cDEBUG">Login!$A$1</definedName>
    <definedName name="cDEBUGMENU">'Main Menu'!$A$1</definedName>
    <definedName name="cEntryClassification">'Quote Entry'!$C$47</definedName>
    <definedName name="cEntryDate">'Quote Entry'!$C$10</definedName>
    <definedName name="cEntryDOB">'Quote Entry'!$C$26</definedName>
    <definedName name="cEntryFirstname">'Quote Entry'!$C$17</definedName>
    <definedName name="cEntryGender">'Quote Entry'!$C$23</definedName>
    <definedName name="cEntryLastname">'Quote Entry'!$C$20</definedName>
    <definedName name="cEntryManufacturer">'Quote Entry'!$C$50</definedName>
    <definedName name="cEntryModel">'Quote Entry'!$C$53</definedName>
    <definedName name="cEntryPlan">'Quote Entry'!$C$62</definedName>
    <definedName name="cEntryPostcode">'Quote Entry'!$C$38</definedName>
    <definedName name="cEntryPower">'Quote Entry'!$C$56</definedName>
    <definedName name="cEntryQuoteId">'Quote Entry'!$C$7</definedName>
    <definedName name="cEntryResidenceClass">'Quote Entry'!$C$35</definedName>
    <definedName name="cEntryState">'Quote Entry'!$C$41</definedName>
    <definedName name="cEntryStreetAddress">'Quote Entry'!$C$29</definedName>
    <definedName name="cEntrySuburb">'Quote Entry'!$C$32</definedName>
    <definedName name="cErrEntryClassification">'Quote Entry'!$E$47</definedName>
    <definedName name="cErrEntryDOB">'Quote Entry'!$E$26</definedName>
    <definedName name="cErrEntryFirstname">'Quote Entry'!$E$17</definedName>
    <definedName name="cErrEntryGender">'Quote Entry'!$E$23</definedName>
    <definedName name="cErrEntryLastname">'Quote Entry'!$E$20</definedName>
    <definedName name="cErrEntryManufacturer">'Quote Entry'!$E$50</definedName>
    <definedName name="cErrEntryModel">'Quote Entry'!$E$53</definedName>
    <definedName name="cErrEntryPlan">'Quote Entry'!$E$62</definedName>
    <definedName name="cErrEntryPostcode">'Quote Entry'!$E$38</definedName>
    <definedName name="cErrEntryPower">'Quote Entry'!$E$56</definedName>
    <definedName name="cErrEntryResidenceClass">'Quote Entry'!$E$35</definedName>
    <definedName name="cErrEntryState">'Quote Entry'!$E$41</definedName>
    <definedName name="cErrEntryStreetAddress">'Quote Entry'!$E$29</definedName>
    <definedName name="cErrEntrySuburb">'Quote Entry'!$E$32</definedName>
    <definedName name="cErrNumPriorClaims">'Quote Entry'!$E$9</definedName>
    <definedName name="cLoginError">Login!$G$8</definedName>
    <definedName name="cNumPriorClaims">'Quote Entry'!$E$7</definedName>
    <definedName name="cPassword">Login!$D$8</definedName>
    <definedName name="cTextAnnual">'Quote Entry'!$C$68</definedName>
    <definedName name="cTextAnnualDiscount">'Quote Entry'!$E$68</definedName>
    <definedName name="cUsername">Login!$D$6</definedName>
    <definedName name="cViewQuoteId">Quotation!$D$6</definedName>
    <definedName name="lBasePremiumCar">Lookup!$F$4:$G$30</definedName>
    <definedName name="lCurrDate">Lookup!$S$14</definedName>
    <definedName name="lCurrQID">Lookup!$R$11</definedName>
    <definedName name="lCurrUser">Lookup!$R$14</definedName>
    <definedName name="lCurrUserLevel">Lookup!$R$17</definedName>
    <definedName name="lFactorAge">Lookup!$O$4:$P$17</definedName>
    <definedName name="lFactorGender">Lookup!$L$4:$M$5</definedName>
    <definedName name="lFactorPower">Lookup!$I$4:$J$30</definedName>
    <definedName name="lFactorResidenceClass">Lookup!$R$4:$S$8</definedName>
    <definedName name="lNextQID">Lookup!$S$11</definedName>
    <definedName name="lPlans">Lookup!$L$21:$O$23</definedName>
    <definedName name="lStates">Lookup!$L$9:$L$16</definedName>
    <definedName name="lUser">Lookup!$B$4:$D$30</definedName>
    <definedName name="_xlnm.Print_Area" localSheetId="4">'Admin Premiums'!$B$2:$H$29</definedName>
    <definedName name="_xlnm.Print_Area" localSheetId="3">Quotation!$B$9:$H$34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2" l="1"/>
  <c r="S14" i="9" l="1"/>
  <c r="C10" i="2" s="1"/>
  <c r="C68" i="2" l="1"/>
  <c r="E68" i="2" s="1"/>
  <c r="D71" i="2"/>
  <c r="S11" i="9" l="1"/>
  <c r="C71" i="2"/>
</calcChain>
</file>

<file path=xl/sharedStrings.xml><?xml version="1.0" encoding="utf-8"?>
<sst xmlns="http://schemas.openxmlformats.org/spreadsheetml/2006/main" count="132" uniqueCount="113">
  <si>
    <t>Dogdy Car Insurance</t>
  </si>
  <si>
    <t>Username</t>
  </si>
  <si>
    <t>Password</t>
  </si>
  <si>
    <t>System Login Page</t>
  </si>
  <si>
    <t>username</t>
  </si>
  <si>
    <t>password</t>
  </si>
  <si>
    <t>lUser</t>
  </si>
  <si>
    <t>oliver</t>
  </si>
  <si>
    <t>lenehan</t>
  </si>
  <si>
    <t>lBasePremiumCar</t>
  </si>
  <si>
    <t>premium</t>
  </si>
  <si>
    <t>lFactorGender</t>
  </si>
  <si>
    <t>gender</t>
  </si>
  <si>
    <t>factor</t>
  </si>
  <si>
    <t>lFactorAge</t>
  </si>
  <si>
    <t>age</t>
  </si>
  <si>
    <t>Operated by The Dodgy Insurance Company of Australia Pty Ltd ABN 123456789</t>
  </si>
  <si>
    <t>Quote Entry</t>
  </si>
  <si>
    <t>Quote ID</t>
  </si>
  <si>
    <t>Personal</t>
  </si>
  <si>
    <t>First Name</t>
  </si>
  <si>
    <t>Last Name</t>
  </si>
  <si>
    <t>Gender</t>
  </si>
  <si>
    <t>Date of Birth</t>
  </si>
  <si>
    <t>Street Address</t>
  </si>
  <si>
    <t>Postcode</t>
  </si>
  <si>
    <t>Vehicle</t>
  </si>
  <si>
    <t>Model</t>
  </si>
  <si>
    <t>Manufacturer</t>
  </si>
  <si>
    <t>lFactorPower</t>
  </si>
  <si>
    <t>type</t>
  </si>
  <si>
    <t>4x4</t>
  </si>
  <si>
    <t>Date of Quote</t>
  </si>
  <si>
    <t>Payment Plan</t>
  </si>
  <si>
    <t>Your Payment Rate</t>
  </si>
  <si>
    <t>Totals</t>
  </si>
  <si>
    <t>Male</t>
  </si>
  <si>
    <t>Female</t>
  </si>
  <si>
    <t>lStates</t>
  </si>
  <si>
    <t>NSW</t>
  </si>
  <si>
    <t>QLD</t>
  </si>
  <si>
    <t>VIC</t>
  </si>
  <si>
    <t>TAS</t>
  </si>
  <si>
    <t>ACT</t>
  </si>
  <si>
    <t>NT</t>
  </si>
  <si>
    <t>SA</t>
  </si>
  <si>
    <t>WA</t>
  </si>
  <si>
    <t>Other</t>
  </si>
  <si>
    <t>lPlans</t>
  </si>
  <si>
    <t>Monthly</t>
  </si>
  <si>
    <t>Annual Cost</t>
  </si>
  <si>
    <t>Annual Cost with Discount</t>
  </si>
  <si>
    <t>Classification</t>
  </si>
  <si>
    <t>Sedan</t>
  </si>
  <si>
    <t>Hatchback</t>
  </si>
  <si>
    <t>Station Wagon</t>
  </si>
  <si>
    <t>Truck</t>
  </si>
  <si>
    <t>State / Territory</t>
  </si>
  <si>
    <t>Residence Location Type</t>
  </si>
  <si>
    <t>lFactorResidenceClass</t>
  </si>
  <si>
    <t>class</t>
  </si>
  <si>
    <t>Urban</t>
  </si>
  <si>
    <t>Suburban</t>
  </si>
  <si>
    <t>Semi-Rural</t>
  </si>
  <si>
    <t>Rural</t>
  </si>
  <si>
    <t>Regional</t>
  </si>
  <si>
    <t>Quarterly (Save 5% p.a.)</t>
  </si>
  <si>
    <t>Annually (Save 15% p.a.)</t>
  </si>
  <si>
    <t>divisor</t>
  </si>
  <si>
    <t>rateName</t>
  </si>
  <si>
    <t>per Month</t>
  </si>
  <si>
    <t>per Quarter</t>
  </si>
  <si>
    <t>per Year</t>
  </si>
  <si>
    <t>Town / Suburb / Locality</t>
  </si>
  <si>
    <t>lCurrQID</t>
  </si>
  <si>
    <t>lNextQID</t>
  </si>
  <si>
    <t>Quotation Preview</t>
  </si>
  <si>
    <t>quoteID</t>
  </si>
  <si>
    <t>firstname</t>
  </si>
  <si>
    <t>lastname</t>
  </si>
  <si>
    <t>streetAddress</t>
  </si>
  <si>
    <t>suburb</t>
  </si>
  <si>
    <t>postcode</t>
  </si>
  <si>
    <t>state</t>
  </si>
  <si>
    <t>dob</t>
  </si>
  <si>
    <t>residenceClass</t>
  </si>
  <si>
    <t>vehicleClass</t>
  </si>
  <si>
    <t>vehicleManufacturer</t>
  </si>
  <si>
    <t>vehicleModel</t>
  </si>
  <si>
    <t>vehiclePower</t>
  </si>
  <si>
    <t>paymentPlan</t>
  </si>
  <si>
    <t>lCurrUser</t>
  </si>
  <si>
    <t>quoteDate</t>
  </si>
  <si>
    <t>fieldJoin</t>
  </si>
  <si>
    <t>lCurrDate</t>
  </si>
  <si>
    <t>level</t>
  </si>
  <si>
    <t>user</t>
  </si>
  <si>
    <t>admin</t>
  </si>
  <si>
    <t>lCurrUserLevel</t>
  </si>
  <si>
    <t>Engine Size (Litres)</t>
  </si>
  <si>
    <t>&gt; litres</t>
  </si>
  <si>
    <t>Ute</t>
  </si>
  <si>
    <t>Number of Prior Claims</t>
  </si>
  <si>
    <t>numPrevQuotes</t>
  </si>
  <si>
    <t>annualCostWithDiscount</t>
  </si>
  <si>
    <t>Premiums Analysis</t>
  </si>
  <si>
    <t>Age</t>
  </si>
  <si>
    <t>Car Type</t>
  </si>
  <si>
    <t>Factor</t>
  </si>
  <si>
    <t>Premium</t>
  </si>
  <si>
    <t>Age + Factor</t>
  </si>
  <si>
    <t>Car Type + Premium</t>
  </si>
  <si>
    <t>Main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</si>
</sst>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onsolas"/>
      <family val="3"/>
    </font>
    <font>
      <sz val="11"/>
      <color rgb="FFFFC000"/>
      <name val="Calibri"/>
      <family val="2"/>
      <scheme val="minor"/>
    </font>
    <font>
      <b/>
      <i/>
      <sz val="16"/>
      <color rgb="FFFFC000"/>
      <name val="Calibri"/>
      <family val="2"/>
      <scheme val="minor"/>
    </font>
    <font>
      <sz val="11"/>
      <name val="Consolas"/>
      <family val="3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Rockwell"/>
      <family val="1"/>
    </font>
    <font>
      <b/>
      <sz val="32"/>
      <color rgb="FFFFC000"/>
      <name val="Rockwell"/>
      <family val="1"/>
    </font>
    <font>
      <b/>
      <sz val="11"/>
      <color theme="0"/>
      <name val="Rockwell"/>
      <family val="1"/>
    </font>
    <font>
      <sz val="11"/>
      <name val="Rockwell"/>
      <family val="1"/>
    </font>
    <font>
      <b/>
      <sz val="45"/>
      <color rgb="FFFFC000"/>
      <name val="Rockwell"/>
      <family val="1"/>
    </font>
    <font>
      <sz val="22"/>
      <color theme="0"/>
      <name val="Calibri"/>
      <family val="2"/>
      <scheme val="minor"/>
    </font>
    <font>
      <i/>
      <sz val="11"/>
      <color theme="2" tint="-9.9978637043366805E-2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ourier New"/>
      <family val="3"/>
    </font>
    <font>
      <sz val="11"/>
      <color rgb="FF000000"/>
      <name val="Calibri"/>
      <family val="2"/>
    </font>
    <font>
      <sz val="13"/>
      <color rgb="FFFF5043"/>
      <name val="Calibri"/>
      <family val="2"/>
      <scheme val="minor"/>
    </font>
    <font>
      <sz val="18"/>
      <name val="Calibri"/>
      <family val="2"/>
      <scheme val="minor"/>
    </font>
    <font>
      <sz val="14"/>
      <color theme="1"/>
      <name val="Webdings"/>
      <family val="1"/>
      <charset val="2"/>
    </font>
    <font>
      <sz val="11"/>
      <color theme="1"/>
      <name val="Rockwell"/>
      <family val="1"/>
    </font>
    <font>
      <sz val="11"/>
      <color rgb="FF000000"/>
      <name val="Rockwell"/>
      <family val="1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6" fillId="2" borderId="0" xfId="0" applyFont="1" applyFill="1"/>
    <xf numFmtId="0" fontId="6" fillId="0" borderId="0" xfId="0" applyFont="1"/>
    <xf numFmtId="0" fontId="2" fillId="0" borderId="1" xfId="0" applyFont="1" applyBorder="1" applyAlignment="1" applyProtection="1">
      <alignment horizontal="left" vertical="center"/>
      <protection locked="0"/>
    </xf>
    <xf numFmtId="0" fontId="9" fillId="2" borderId="0" xfId="0" applyFont="1" applyFill="1"/>
    <xf numFmtId="0" fontId="5" fillId="2" borderId="0" xfId="0" applyFont="1" applyFill="1"/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2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1" fillId="0" borderId="0" xfId="0" applyFont="1" applyFill="1"/>
    <xf numFmtId="0" fontId="1" fillId="4" borderId="0" xfId="0" applyFont="1" applyFill="1"/>
    <xf numFmtId="0" fontId="2" fillId="4" borderId="2" xfId="0" applyFont="1" applyFill="1" applyBorder="1"/>
    <xf numFmtId="0" fontId="12" fillId="4" borderId="2" xfId="0" applyFont="1" applyFill="1" applyBorder="1"/>
    <xf numFmtId="0" fontId="12" fillId="4" borderId="2" xfId="0" applyFont="1" applyFill="1" applyBorder="1" applyAlignment="1">
      <alignment horizontal="left"/>
    </xf>
    <xf numFmtId="0" fontId="0" fillId="6" borderId="0" xfId="0" applyFill="1"/>
    <xf numFmtId="0" fontId="13" fillId="6" borderId="0" xfId="0" applyFont="1" applyFill="1" applyAlignment="1">
      <alignment horizontal="left"/>
    </xf>
    <xf numFmtId="0" fontId="0" fillId="6" borderId="2" xfId="0" applyFill="1" applyBorder="1"/>
    <xf numFmtId="0" fontId="0" fillId="7" borderId="0" xfId="0" applyFill="1"/>
    <xf numFmtId="0" fontId="3" fillId="7" borderId="0" xfId="0" applyFont="1" applyFill="1"/>
    <xf numFmtId="0" fontId="2" fillId="7" borderId="0" xfId="0" applyFont="1" applyFill="1"/>
    <xf numFmtId="0" fontId="0" fillId="4" borderId="2" xfId="0" applyFill="1" applyBorder="1"/>
    <xf numFmtId="0" fontId="4" fillId="7" borderId="0" xfId="0" applyFont="1" applyFill="1"/>
    <xf numFmtId="0" fontId="4" fillId="4" borderId="0" xfId="0" applyFont="1" applyFill="1"/>
    <xf numFmtId="0" fontId="4" fillId="0" borderId="0" xfId="0" applyFont="1" applyFill="1"/>
    <xf numFmtId="0" fontId="1" fillId="0" borderId="0" xfId="0" applyFont="1" applyFill="1" applyProtection="1">
      <protection locked="0"/>
    </xf>
    <xf numFmtId="14" fontId="2" fillId="4" borderId="0" xfId="0" applyNumberFormat="1" applyFont="1" applyFill="1"/>
    <xf numFmtId="14" fontId="1" fillId="0" borderId="0" xfId="0" applyNumberFormat="1" applyFont="1" applyFill="1" applyProtection="1">
      <protection locked="0"/>
    </xf>
    <xf numFmtId="0" fontId="0" fillId="0" borderId="0" xfId="0" applyFill="1"/>
    <xf numFmtId="0" fontId="0" fillId="7" borderId="0" xfId="0" applyFont="1" applyFill="1"/>
    <xf numFmtId="0" fontId="0" fillId="4" borderId="0" xfId="0" applyFont="1" applyFill="1"/>
    <xf numFmtId="0" fontId="0" fillId="0" borderId="0" xfId="0" applyFont="1"/>
    <xf numFmtId="0" fontId="1" fillId="4" borderId="0" xfId="0" applyFont="1" applyFill="1" applyProtection="1"/>
    <xf numFmtId="0" fontId="2" fillId="0" borderId="0" xfId="0" applyFont="1" applyFill="1" applyProtection="1"/>
    <xf numFmtId="0" fontId="2" fillId="4" borderId="0" xfId="0" applyFont="1" applyFill="1" applyBorder="1"/>
    <xf numFmtId="0" fontId="0" fillId="4" borderId="0" xfId="0" applyFont="1" applyFill="1" applyBorder="1"/>
    <xf numFmtId="0" fontId="14" fillId="4" borderId="0" xfId="0" applyFont="1" applyFill="1" applyBorder="1"/>
    <xf numFmtId="0" fontId="11" fillId="4" borderId="0" xfId="0" applyFont="1" applyFill="1" applyBorder="1"/>
    <xf numFmtId="2" fontId="1" fillId="0" borderId="0" xfId="0" applyNumberFormat="1" applyFont="1" applyFill="1" applyProtection="1">
      <protection locked="0"/>
    </xf>
    <xf numFmtId="0" fontId="15" fillId="6" borderId="0" xfId="0" applyFont="1" applyFill="1"/>
    <xf numFmtId="0" fontId="16" fillId="6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/>
    </xf>
    <xf numFmtId="0" fontId="8" fillId="4" borderId="0" xfId="0" applyFont="1" applyFill="1" applyAlignment="1">
      <alignment horizontal="center" vertical="center"/>
    </xf>
    <xf numFmtId="0" fontId="7" fillId="4" borderId="0" xfId="0" applyFont="1" applyFill="1"/>
    <xf numFmtId="0" fontId="18" fillId="4" borderId="0" xfId="0" applyFont="1" applyFill="1"/>
    <xf numFmtId="0" fontId="17" fillId="4" borderId="2" xfId="0" applyFont="1" applyFill="1" applyBorder="1"/>
    <xf numFmtId="0" fontId="13" fillId="6" borderId="0" xfId="0" applyFont="1" applyFill="1" applyAlignment="1">
      <alignment horizontal="center"/>
    </xf>
    <xf numFmtId="0" fontId="20" fillId="6" borderId="2" xfId="0" applyFont="1" applyFill="1" applyBorder="1"/>
    <xf numFmtId="0" fontId="20" fillId="4" borderId="0" xfId="0" applyFont="1" applyFill="1"/>
    <xf numFmtId="14" fontId="21" fillId="5" borderId="0" xfId="0" applyNumberFormat="1" applyFont="1" applyFill="1"/>
    <xf numFmtId="0" fontId="21" fillId="5" borderId="0" xfId="0" applyFont="1" applyFill="1"/>
    <xf numFmtId="44" fontId="21" fillId="5" borderId="0" xfId="0" applyNumberFormat="1" applyFont="1" applyFill="1"/>
    <xf numFmtId="0" fontId="0" fillId="4" borderId="0" xfId="0" applyFill="1" applyBorder="1"/>
    <xf numFmtId="0" fontId="0" fillId="0" borderId="0" xfId="0" applyBorder="1"/>
    <xf numFmtId="0" fontId="0" fillId="7" borderId="0" xfId="0" applyFill="1" applyBorder="1"/>
    <xf numFmtId="0" fontId="23" fillId="4" borderId="0" xfId="0" applyFont="1" applyFill="1"/>
    <xf numFmtId="0" fontId="23" fillId="4" borderId="0" xfId="0" applyFont="1" applyFill="1" applyBorder="1"/>
    <xf numFmtId="0" fontId="23" fillId="4" borderId="0" xfId="0" applyFont="1" applyFill="1" applyAlignment="1">
      <alignment horizontal="center" vertical="top"/>
    </xf>
    <xf numFmtId="0" fontId="24" fillId="4" borderId="0" xfId="0" applyFont="1" applyFill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14" fontId="0" fillId="0" borderId="4" xfId="0" applyNumberFormat="1" applyBorder="1"/>
    <xf numFmtId="14" fontId="0" fillId="0" borderId="0" xfId="0" applyNumberFormat="1" applyBorder="1"/>
    <xf numFmtId="0" fontId="0" fillId="4" borderId="6" xfId="0" applyFill="1" applyBorder="1"/>
    <xf numFmtId="0" fontId="0" fillId="8" borderId="0" xfId="0" applyFill="1"/>
    <xf numFmtId="0" fontId="25" fillId="0" borderId="1" xfId="0" applyFont="1" applyBorder="1" applyAlignment="1" applyProtection="1">
      <alignment horizontal="left" vertical="center"/>
      <protection locked="0"/>
    </xf>
    <xf numFmtId="0" fontId="0" fillId="9" borderId="0" xfId="0" applyFill="1" applyProtection="1">
      <protection locked="0"/>
    </xf>
    <xf numFmtId="0" fontId="20" fillId="9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0" fillId="0" borderId="3" xfId="0" applyFill="1" applyBorder="1" applyProtection="1">
      <protection locked="0"/>
    </xf>
    <xf numFmtId="0" fontId="0" fillId="3" borderId="0" xfId="0" applyFill="1" applyProtection="1">
      <protection locked="0"/>
    </xf>
    <xf numFmtId="14" fontId="0" fillId="3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43"/>
      <color rgb="FF33CCFF"/>
      <color rgb="FF009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Insurance Factor at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'Admin Premiums'!$D$8</c:f>
              <c:strCache>
                <c:ptCount val="1"/>
                <c:pt idx="0">
                  <c:v>Factor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'Admin Premiums'!$C$9:$C$15</c:f>
              <c:numCache>
                <c:formatCode>General</c:formatCode>
                <c:ptCount val="7"/>
                <c:pt idx="0">
                  <c:v>16</c:v>
                </c:pt>
                <c:pt idx="1">
                  <c:v>21</c:v>
                </c:pt>
                <c:pt idx="2">
                  <c:v>30</c:v>
                </c:pt>
                <c:pt idx="3">
                  <c:v>43</c:v>
                </c:pt>
                <c:pt idx="4">
                  <c:v>58</c:v>
                </c:pt>
                <c:pt idx="5">
                  <c:v>72</c:v>
                </c:pt>
                <c:pt idx="6">
                  <c:v>80</c:v>
                </c:pt>
              </c:numCache>
            </c:numRef>
          </c:xVal>
          <c:yVal>
            <c:numRef>
              <c:f>'Admin Premiums'!$D$9:$D$15</c:f>
              <c:numCache>
                <c:formatCode>General</c:formatCode>
                <c:ptCount val="7"/>
                <c:pt idx="0">
                  <c:v>1.2</c:v>
                </c:pt>
                <c:pt idx="1">
                  <c:v>1.4</c:v>
                </c:pt>
                <c:pt idx="2">
                  <c:v>1.3</c:v>
                </c:pt>
                <c:pt idx="3">
                  <c:v>1.1000000000000001</c:v>
                </c:pt>
                <c:pt idx="4">
                  <c:v>1.2</c:v>
                </c:pt>
                <c:pt idx="5">
                  <c:v>1.4</c:v>
                </c:pt>
                <c:pt idx="6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4B-4150-98F7-497B30A05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0368"/>
        <c:axId val="602980376"/>
      </c:scatterChart>
      <c:valAx>
        <c:axId val="1126250368"/>
        <c:scaling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0376"/>
        <c:crosses val="autoZero"/>
        <c:crossBetween val="midCat"/>
        <c:majorUnit val="10"/>
      </c:valAx>
      <c:valAx>
        <c:axId val="6029803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Premium for Vehicle</a:t>
            </a:r>
            <a:r>
              <a:rPr lang="en-US" baseline="0"/>
              <a:t> Types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'Admin Premiums'!$G$8</c:f>
              <c:strCache>
                <c:ptCount val="1"/>
                <c:pt idx="0">
                  <c:v>Premium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'Admin Premiums'!$F$9:$F$14</c:f>
              <c:strCache>
                <c:ptCount val="6"/>
                <c:pt idx="0">
                  <c:v>Sedan</c:v>
                </c:pt>
                <c:pt idx="1">
                  <c:v>Hatchback</c:v>
                </c:pt>
                <c:pt idx="2">
                  <c:v>Station Wagon</c:v>
                </c:pt>
                <c:pt idx="3">
                  <c:v>4x4</c:v>
                </c:pt>
                <c:pt idx="4">
                  <c:v>Truck</c:v>
                </c:pt>
                <c:pt idx="5">
                  <c:v>Ute</c:v>
                </c:pt>
              </c:strCache>
            </c:strRef>
          </c:cat>
          <c:val>
            <c:numRef>
              <c:f>'Admin Premiums'!$G$9:$G$14</c:f>
              <c:numCache>
                <c:formatCode>General</c:formatCode>
                <c:ptCount val="6"/>
                <c:pt idx="0">
                  <c:v>500</c:v>
                </c:pt>
                <c:pt idx="1">
                  <c:v>480</c:v>
                </c:pt>
                <c:pt idx="2">
                  <c:v>490</c:v>
                </c:pt>
                <c:pt idx="3">
                  <c:v>530</c:v>
                </c:pt>
                <c:pt idx="4">
                  <c:v>600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B-4734-8854-7F23AC4E8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998832"/>
        <c:axId val="737998176"/>
      </c:radarChart>
      <c:catAx>
        <c:axId val="73799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98176"/>
        <c:crosses val="autoZero"/>
        <c:auto val="1"/>
        <c:lblAlgn val="ctr"/>
        <c:lblOffset val="100"/>
        <c:noMultiLvlLbl val="0"/>
      </c:catAx>
      <c:valAx>
        <c:axId val="73799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9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5" fmlaLink="$C$23" fmlaRange="lFactorGender" noThreeD="1" sel="0" val="0"/>
</file>

<file path=xl/ctrlProps/ctrlProp9.xml><?xml version="1.0" encoding="utf-8"?>
<formControlPr xmlns="http://schemas.microsoft.com/office/spreadsheetml/2009/9/main" objectType="Drop" dropStyle="combo" dx="35" fmlaLink="cEntryState" fmlaRange="lStates" noThreeD="1" sel="0" val="0"/>
</file>

<file path=xl/ctrlProps/ctrlProp10.xml><?xml version="1.0" encoding="utf-8"?>
<formControlPr xmlns="http://schemas.microsoft.com/office/spreadsheetml/2009/9/main" objectType="Drop" dropStyle="combo" dx="35" fmlaLink="cEntryPlan" fmlaRange="lPlans" noThreeD="1" sel="0" val="0"/>
</file>

<file path=xl/ctrlProps/ctrlProp11.xml><?xml version="1.0" encoding="utf-8"?>
<formControlPr xmlns="http://schemas.microsoft.com/office/spreadsheetml/2009/9/main" objectType="Drop" dropStyle="combo" dx="35" fmlaLink="cEntryClassification" fmlaRange="lBasePremiumCar" noThreeD="1" sel="0" val="0"/>
</file>

<file path=xl/ctrlProps/ctrlProp12.xml><?xml version="1.0" encoding="utf-8"?>
<formControlPr xmlns="http://schemas.microsoft.com/office/spreadsheetml/2009/9/main" objectType="Drop" dropStyle="combo" dx="35" fmlaLink="cEntryResidenceClass" fmlaRange="lFactorResidenceClass" noThreeD="1" sel="0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141514</xdr:colOff>
      <xdr:row>1</xdr:row>
      <xdr:rowOff>48987</xdr:rowOff>
    </xdr:from>
    <xdr:to>
      <xdr:col>2</xdr:col>
      <xdr:colOff>500743</xdr:colOff>
      <xdr:row>2</xdr:row>
      <xdr:rowOff>21773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337458"/>
          <a:ext cx="1012372" cy="10123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576943</xdr:colOff>
          <xdr:row>5</xdr:row>
          <xdr:rowOff>10886</xdr:rowOff>
        </xdr:from>
        <xdr:to>
          <xdr:col>7</xdr:col>
          <xdr:colOff>174171</xdr:colOff>
          <xdr:row>6</xdr:row>
          <xdr:rowOff>201386</xdr:rowOff>
        </xdr:to>
        <xdr:sp macro="" textlink="">
          <xdr:nvSpPr>
            <xdr:cNvPr id="2051" name="bLogi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Log-In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5</xdr:col>
          <xdr:colOff>756556</xdr:colOff>
          <xdr:row>21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</xdr:colOff>
          <xdr:row>5</xdr:row>
          <xdr:rowOff>185056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7170" name="bQuoteEntry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CE63FB51-99F5-4333-919E-5B773B3CB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Quote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</xdr:colOff>
          <xdr:row>5</xdr:row>
          <xdr:rowOff>185056</xdr:rowOff>
        </xdr:from>
        <xdr:to>
          <xdr:col>7</xdr:col>
          <xdr:colOff>1</xdr:colOff>
          <xdr:row>8</xdr:row>
          <xdr:rowOff>0</xdr:rowOff>
        </xdr:to>
        <xdr:sp macro="" textlink="">
          <xdr:nvSpPr>
            <xdr:cNvPr id="7171" name="bQuotati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3127A5B3-62B9-44F7-8B56-818629F59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Quotation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1</xdr:rowOff>
        </xdr:from>
        <xdr:to>
          <xdr:col>3</xdr:col>
          <xdr:colOff>756557</xdr:colOff>
          <xdr:row>12</xdr:row>
          <xdr:rowOff>0</xdr:rowOff>
        </xdr:to>
        <xdr:sp macro="" textlink="">
          <xdr:nvSpPr>
            <xdr:cNvPr id="7172" name="bPremium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4AEFB687-8C72-4548-B201-FCD198B8B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Premiums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185056</xdr:rowOff>
        </xdr:to>
        <xdr:sp macro="" textlink="">
          <xdr:nvSpPr>
            <xdr:cNvPr id="7173" name="bDatastor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6A1F9F0E-0E8B-41AF-A308-DEF5D92C3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Data 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</xdr:colOff>
          <xdr:row>13</xdr:row>
          <xdr:rowOff>136071</xdr:rowOff>
        </xdr:from>
        <xdr:to>
          <xdr:col>4</xdr:col>
          <xdr:colOff>0</xdr:colOff>
          <xdr:row>15</xdr:row>
          <xdr:rowOff>136071</xdr:rowOff>
        </xdr:to>
        <xdr:sp macro="" textlink="">
          <xdr:nvSpPr>
            <xdr:cNvPr id="7174" name="bLookup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6551B73E-D662-480F-A226-9B95DC39F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65314</xdr:colOff>
      <xdr:row>1</xdr:row>
      <xdr:rowOff>152401</xdr:rowOff>
    </xdr:from>
    <xdr:to>
      <xdr:col>2</xdr:col>
      <xdr:colOff>21772</xdr:colOff>
      <xdr:row>3</xdr:row>
      <xdr:rowOff>54430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328" y="337458"/>
          <a:ext cx="609601" cy="6096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75</xdr:row>
          <xdr:rowOff>0</xdr:rowOff>
        </xdr:from>
        <xdr:to>
          <xdr:col>3</xdr:col>
          <xdr:colOff>0</xdr:colOff>
          <xdr:row>76</xdr:row>
          <xdr:rowOff>0</xdr:rowOff>
        </xdr:to>
        <xdr:sp macro="" textlink="">
          <xdr:nvSpPr>
            <xdr:cNvPr id="3082" name="bClearQuote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74</xdr:row>
          <xdr:rowOff>174171</xdr:rowOff>
        </xdr:from>
        <xdr:to>
          <xdr:col>5</xdr:col>
          <xdr:colOff>0</xdr:colOff>
          <xdr:row>76</xdr:row>
          <xdr:rowOff>0</xdr:rowOff>
        </xdr:to>
        <xdr:sp macro="" textlink="">
          <xdr:nvSpPr>
            <xdr:cNvPr id="3083" name="bSubmitQuote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0</xdr:rowOff>
        </xdr:from>
        <xdr:to>
          <xdr:col>7</xdr:col>
          <xdr:colOff>332014</xdr:colOff>
          <xdr:row>77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629B5A5C-40A9-4518-86D4-602F5947E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21771</xdr:colOff>
          <xdr:row>4</xdr:row>
          <xdr:rowOff>108857</xdr:rowOff>
        </xdr:from>
        <xdr:to>
          <xdr:col>7</xdr:col>
          <xdr:colOff>5443</xdr:colOff>
          <xdr:row>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625459</xdr:colOff>
          <xdr:row>35</xdr:row>
          <xdr:rowOff>10885</xdr:rowOff>
        </xdr:from>
        <xdr:to>
          <xdr:col>3</xdr:col>
          <xdr:colOff>304331</xdr:colOff>
          <xdr:row>38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9B29A5B4-1220-4F16-85BA-25B2CE540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625929</xdr:colOff>
      <xdr:row>15</xdr:row>
      <xdr:rowOff>152400</xdr:rowOff>
    </xdr:from>
    <xdr:to>
      <xdr:col>3</xdr:col>
      <xdr:colOff>1396783</xdr:colOff>
      <xdr:row>25</xdr:row>
      <xdr:rowOff>52462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760559</xdr:colOff>
      <xdr:row>14</xdr:row>
      <xdr:rowOff>108725</xdr:rowOff>
    </xdr:from>
    <xdr:to>
      <xdr:col>6</xdr:col>
      <xdr:colOff>1278745</xdr:colOff>
      <xdr:row>27</xdr:row>
      <xdr:rowOff>72135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563958</xdr:colOff>
          <xdr:row>29</xdr:row>
          <xdr:rowOff>102693</xdr:rowOff>
        </xdr:from>
        <xdr:to>
          <xdr:col>2</xdr:col>
          <xdr:colOff>893348</xdr:colOff>
          <xdr:row>32</xdr:row>
          <xdr:rowOff>91807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D9D90DE1-7AF6-4FCE-8C2E-45D124279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32656</xdr:colOff>
          <xdr:row>0</xdr:row>
          <xdr:rowOff>10885</xdr:rowOff>
        </xdr:from>
        <xdr:to>
          <xdr:col>23</xdr:col>
          <xdr:colOff>193524</xdr:colOff>
          <xdr:row>6</xdr:row>
          <xdr:rowOff>30237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33FC462A-1382-4394-AB55-9AE950B43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24</xdr:row>
          <xdr:rowOff>21772</xdr:rowOff>
        </xdr:from>
        <xdr:to>
          <xdr:col>14</xdr:col>
          <xdr:colOff>10886</xdr:colOff>
          <xdr:row>29</xdr:row>
          <xdr:rowOff>141514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CE87DC96-A4BA-4439-AA67-BAC1AF916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91F-9963-4E85-AFD5-106402C3F308}">
  <sheetPr codeName="sLogin"/>
  <dimension ref="A1:K13"/>
  <sheetViews>
    <sheetView showGridLines="0" showRowColHeaders="0" tabSelected="1" zoomScaleNormal="100" workbookViewId="0"/>
  </sheetViews>
  <sheetFormatPr defaultRowHeight="14.6" x14ac:dyDescent="0.4"/>
  <cols>
    <col min="1" max="1" width="4.69140625" customWidth="1"/>
    <col min="2" max="2" width="9.23046875" customWidth="1"/>
    <col min="4" max="4" width="31.61328125" customWidth="1"/>
    <col min="6" max="6" width="10.84375" customWidth="1"/>
    <col min="7" max="7" width="17.15234375" customWidth="1"/>
    <col min="8" max="8" width="6.61328125" customWidth="1"/>
    <col min="9" max="9" width="8.23046875" customWidth="1"/>
    <col min="10" max="10" width="7.15234375" customWidth="1"/>
    <col min="11" max="11" width="4.69140625" customWidth="1"/>
  </cols>
  <sheetData>
    <row r="1" spans="1:11" ht="20.05" customHeight="1" x14ac:dyDescent="0.4">
      <c r="A1" s="7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ht="81.900000000000006" customHeight="1" x14ac:dyDescent="0.4">
      <c r="A2" s="24"/>
      <c r="B2" s="21"/>
      <c r="C2" s="21"/>
      <c r="D2" s="46" t="s">
        <v>0</v>
      </c>
      <c r="E2" s="45"/>
      <c r="F2" s="45"/>
      <c r="G2" s="45"/>
      <c r="H2" s="45"/>
      <c r="I2" s="21"/>
      <c r="J2" s="21"/>
      <c r="K2" s="24"/>
    </row>
    <row r="3" spans="1:11" ht="40" customHeight="1" thickBot="1" x14ac:dyDescent="0.8">
      <c r="A3" s="24"/>
      <c r="B3" s="27"/>
      <c r="C3" s="27"/>
      <c r="D3" s="51" t="s">
        <v>3</v>
      </c>
      <c r="E3" s="27"/>
      <c r="F3" s="27"/>
      <c r="G3" s="27"/>
      <c r="H3" s="27"/>
      <c r="I3" s="27"/>
      <c r="J3" s="27"/>
      <c r="K3" s="24"/>
    </row>
    <row r="4" spans="1:11" ht="18.45" customHeight="1" x14ac:dyDescent="0.4">
      <c r="A4" s="24"/>
      <c r="B4" s="11"/>
      <c r="C4" s="11"/>
      <c r="D4" s="11"/>
      <c r="E4" s="11"/>
      <c r="F4" s="11"/>
      <c r="G4" s="11"/>
      <c r="H4" s="11"/>
      <c r="I4" s="11"/>
      <c r="J4" s="11"/>
      <c r="K4" s="24"/>
    </row>
    <row r="5" spans="1:11" ht="40" customHeight="1" thickBot="1" x14ac:dyDescent="0.65">
      <c r="A5" s="24"/>
      <c r="B5" s="11"/>
      <c r="C5" s="11"/>
      <c r="D5" s="14" t="s">
        <v>1</v>
      </c>
      <c r="E5" s="11"/>
      <c r="F5" s="11"/>
      <c r="G5" s="11"/>
      <c r="H5" s="11"/>
      <c r="I5" s="11"/>
      <c r="J5" s="11"/>
      <c r="K5" s="24"/>
    </row>
    <row r="6" spans="1:11" ht="25" customHeight="1" thickBot="1" x14ac:dyDescent="0.45">
      <c r="A6" s="24"/>
      <c r="B6" s="11"/>
      <c r="C6" s="11"/>
      <c r="D6" s="7"/>
      <c r="E6" s="11"/>
      <c r="F6" s="11"/>
      <c r="G6" s="11"/>
      <c r="H6" s="11"/>
      <c r="I6" s="11"/>
      <c r="J6" s="11"/>
      <c r="K6" s="24"/>
    </row>
    <row r="7" spans="1:11" ht="40" customHeight="1" thickBot="1" x14ac:dyDescent="0.65">
      <c r="A7" s="24"/>
      <c r="B7" s="11"/>
      <c r="C7" s="11"/>
      <c r="D7" s="14" t="s">
        <v>2</v>
      </c>
      <c r="E7" s="11"/>
      <c r="F7" s="11"/>
      <c r="G7" s="11"/>
      <c r="H7" s="11"/>
      <c r="I7" s="11"/>
      <c r="J7" s="11"/>
      <c r="K7" s="24"/>
    </row>
    <row r="8" spans="1:11" ht="25" customHeight="1" thickBot="1" x14ac:dyDescent="0.45">
      <c r="A8" s="24"/>
      <c r="B8" s="11"/>
      <c r="C8" s="11"/>
      <c r="D8" s="72"/>
      <c r="E8" s="11"/>
      <c r="F8" s="47"/>
      <c r="G8" s="48"/>
      <c r="H8" s="49"/>
      <c r="I8" s="11"/>
      <c r="J8" s="11"/>
      <c r="K8" s="24"/>
    </row>
    <row r="9" spans="1:11" ht="14.6" customHeight="1" x14ac:dyDescent="0.4">
      <c r="A9" s="24"/>
      <c r="B9" s="11"/>
      <c r="C9" s="11"/>
      <c r="D9" s="11"/>
      <c r="E9" s="11"/>
      <c r="F9" s="11"/>
      <c r="G9" s="11"/>
      <c r="H9" s="11"/>
      <c r="I9" s="11"/>
      <c r="J9" s="11"/>
      <c r="K9" s="24"/>
    </row>
    <row r="10" spans="1:11" x14ac:dyDescent="0.4">
      <c r="A10" s="24"/>
      <c r="B10" s="11"/>
      <c r="C10" s="11"/>
      <c r="D10" s="50" t="s">
        <v>16</v>
      </c>
      <c r="E10" s="11"/>
      <c r="F10" s="11"/>
      <c r="G10" s="11"/>
      <c r="H10" s="11"/>
      <c r="I10" s="11"/>
      <c r="J10" s="11"/>
      <c r="K10" s="24"/>
    </row>
    <row r="11" spans="1:11" x14ac:dyDescent="0.4">
      <c r="A11" s="24"/>
      <c r="B11" s="11"/>
      <c r="C11" s="11"/>
      <c r="D11" s="11"/>
      <c r="E11" s="11"/>
      <c r="F11" s="11"/>
      <c r="G11" s="11"/>
      <c r="H11" s="11"/>
      <c r="I11" s="11"/>
      <c r="J11" s="11"/>
      <c r="K11" s="24"/>
    </row>
    <row r="12" spans="1:11" x14ac:dyDescent="0.4">
      <c r="A12" s="24"/>
      <c r="B12" s="11"/>
      <c r="C12" s="11"/>
      <c r="D12" s="11"/>
      <c r="E12" s="11"/>
      <c r="F12" s="11"/>
      <c r="G12" s="11"/>
      <c r="H12" s="11"/>
      <c r="I12" s="11"/>
      <c r="J12" s="11"/>
      <c r="K12" s="24"/>
    </row>
    <row r="13" spans="1:11" ht="20.05" customHeight="1" x14ac:dyDescent="0.4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Login">
              <controlPr defaultSize="0" print="0" autoFill="0" autoPict="0" macro="[0]!sLogin.fLogin">
                <anchor moveWithCells="1" sizeWithCells="1">
                  <from>
                    <xdr:col>5</xdr:col>
                    <xdr:colOff>576943</xdr:colOff>
                    <xdr:row>5</xdr:row>
                    <xdr:rowOff>10886</xdr:rowOff>
                  </from>
                  <to>
                    <xdr:col>7</xdr:col>
                    <xdr:colOff>174171</xdr:colOff>
                    <xdr:row>6</xdr:row>
                    <xdr:rowOff>201386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992E9-48E3-414A-BBD7-EF09CF70C8DC}">
  <sheetPr codeName="sMainMenu"/>
  <dimension ref="A1:I23"/>
  <sheetViews>
    <sheetView workbookViewId="0">
      <selection activeCell="K11" sqref="K11"/>
    </sheetView>
  </sheetViews>
  <sheetFormatPr defaultColWidth="10.69140625" defaultRowHeight="14.6" customHeight="1" x14ac:dyDescent="0.4"/>
  <cols>
    <col min="6" max="6" width="10.69140625" customWidth="1"/>
  </cols>
  <sheetData>
    <row r="1" spans="1:9" ht="14.6" customHeight="1" x14ac:dyDescent="0.4">
      <c r="A1" s="73"/>
      <c r="B1" s="24"/>
      <c r="C1" s="24"/>
      <c r="D1" s="24"/>
      <c r="E1" s="24"/>
      <c r="F1" s="24"/>
      <c r="G1" s="24"/>
      <c r="H1" s="24"/>
      <c r="I1" s="24"/>
    </row>
    <row r="2" spans="1:9" ht="14.6" customHeight="1" x14ac:dyDescent="0.4">
      <c r="A2" s="24"/>
      <c r="B2" s="21"/>
      <c r="C2" s="21"/>
      <c r="D2" s="21"/>
      <c r="E2" s="21"/>
      <c r="F2" s="21"/>
      <c r="G2" s="21"/>
      <c r="H2" s="21"/>
      <c r="I2" s="24"/>
    </row>
    <row r="3" spans="1:9" ht="38.6" customHeight="1" x14ac:dyDescent="1.05">
      <c r="A3" s="24"/>
      <c r="B3" s="21"/>
      <c r="C3" s="21"/>
      <c r="D3" s="21"/>
      <c r="E3" s="52" t="s">
        <v>112</v>
      </c>
      <c r="F3" s="21"/>
      <c r="G3" s="21"/>
      <c r="H3" s="21"/>
      <c r="I3" s="24"/>
    </row>
    <row r="4" spans="1:9" ht="14.6" customHeight="1" thickBot="1" x14ac:dyDescent="0.45">
      <c r="A4" s="24"/>
      <c r="B4" s="53"/>
      <c r="C4" s="53"/>
      <c r="D4" s="53"/>
      <c r="E4" s="53"/>
      <c r="F4" s="53"/>
      <c r="G4" s="53"/>
      <c r="H4" s="53"/>
      <c r="I4" s="24"/>
    </row>
    <row r="5" spans="1:9" ht="14.6" customHeight="1" x14ac:dyDescent="0.4">
      <c r="A5" s="24"/>
      <c r="B5" s="11"/>
      <c r="C5" s="11"/>
      <c r="D5" s="11"/>
      <c r="E5" s="11"/>
      <c r="F5" s="11"/>
      <c r="G5" s="11"/>
      <c r="H5" s="11"/>
      <c r="I5" s="24"/>
    </row>
    <row r="6" spans="1:9" ht="14.6" customHeight="1" x14ac:dyDescent="0.4">
      <c r="A6" s="24"/>
      <c r="B6" s="11"/>
      <c r="C6" s="11"/>
      <c r="D6" s="11"/>
      <c r="E6" s="11"/>
      <c r="F6" s="54"/>
      <c r="G6" s="11"/>
      <c r="H6" s="11"/>
      <c r="I6" s="24"/>
    </row>
    <row r="7" spans="1:9" ht="14.6" customHeight="1" x14ac:dyDescent="0.4">
      <c r="A7" s="24"/>
      <c r="B7" s="58"/>
      <c r="C7" s="58"/>
      <c r="D7" s="58"/>
      <c r="E7" s="58"/>
      <c r="F7" s="58"/>
      <c r="G7" s="58"/>
      <c r="H7" s="58"/>
      <c r="I7" s="24"/>
    </row>
    <row r="8" spans="1:9" ht="14.6" customHeight="1" x14ac:dyDescent="0.4">
      <c r="A8" s="24"/>
      <c r="B8" s="58"/>
      <c r="C8" s="58"/>
      <c r="D8" s="58"/>
      <c r="E8" s="58"/>
      <c r="F8" s="58"/>
      <c r="G8" s="58"/>
      <c r="H8" s="58"/>
      <c r="I8" s="24"/>
    </row>
    <row r="9" spans="1:9" ht="14.6" customHeight="1" x14ac:dyDescent="0.4">
      <c r="A9" s="24"/>
      <c r="B9" s="11"/>
      <c r="C9" s="11"/>
      <c r="D9" s="11"/>
      <c r="E9" s="11"/>
      <c r="F9" s="11"/>
      <c r="G9" s="11"/>
      <c r="H9" s="11"/>
      <c r="I9" s="24"/>
    </row>
    <row r="10" spans="1:9" ht="14.6" customHeight="1" x14ac:dyDescent="0.4">
      <c r="A10" s="24"/>
      <c r="B10" s="11"/>
      <c r="C10" s="11"/>
      <c r="D10" s="11"/>
      <c r="E10" s="11"/>
      <c r="F10" s="11"/>
      <c r="G10" s="11"/>
      <c r="H10" s="11"/>
      <c r="I10" s="24"/>
    </row>
    <row r="11" spans="1:9" ht="14.6" customHeight="1" x14ac:dyDescent="0.4">
      <c r="A11" s="24"/>
      <c r="B11" s="11"/>
      <c r="C11" s="11"/>
      <c r="D11" s="11"/>
      <c r="E11" s="11"/>
      <c r="F11" s="11"/>
      <c r="G11" s="11"/>
      <c r="H11" s="11"/>
      <c r="I11" s="24"/>
    </row>
    <row r="12" spans="1:9" ht="14.6" customHeight="1" x14ac:dyDescent="0.4">
      <c r="A12" s="24"/>
      <c r="B12" s="11"/>
      <c r="C12" s="11"/>
      <c r="D12" s="11"/>
      <c r="E12" s="11"/>
      <c r="F12" s="11"/>
      <c r="G12" s="11"/>
      <c r="H12" s="11"/>
      <c r="I12" s="24"/>
    </row>
    <row r="13" spans="1:9" ht="14.6" customHeight="1" x14ac:dyDescent="0.4">
      <c r="A13" s="24"/>
      <c r="B13" s="11"/>
      <c r="C13" s="11"/>
      <c r="D13" s="11"/>
      <c r="E13" s="11"/>
      <c r="F13" s="11"/>
      <c r="G13" s="11"/>
      <c r="H13" s="11"/>
      <c r="I13" s="24"/>
    </row>
    <row r="14" spans="1:9" ht="14.6" customHeight="1" x14ac:dyDescent="0.4">
      <c r="A14" s="24"/>
      <c r="B14" s="11"/>
      <c r="C14" s="11"/>
      <c r="D14" s="11"/>
      <c r="E14" s="11"/>
      <c r="F14" s="11"/>
      <c r="G14" s="11"/>
      <c r="H14" s="11"/>
      <c r="I14" s="24"/>
    </row>
    <row r="15" spans="1:9" ht="14.6" customHeight="1" x14ac:dyDescent="0.4">
      <c r="A15" s="24"/>
      <c r="B15" s="11"/>
      <c r="C15" s="11"/>
      <c r="D15" s="11"/>
      <c r="E15" s="11"/>
      <c r="F15" s="11"/>
      <c r="G15" s="11"/>
      <c r="H15" s="11"/>
      <c r="I15" s="24"/>
    </row>
    <row r="16" spans="1:9" ht="14.6" customHeight="1" x14ac:dyDescent="0.4">
      <c r="A16" s="24"/>
      <c r="B16" s="11"/>
      <c r="C16" s="11"/>
      <c r="D16" s="11"/>
      <c r="E16" s="11"/>
      <c r="F16" s="11"/>
      <c r="G16" s="11"/>
      <c r="H16" s="11"/>
      <c r="I16" s="24"/>
    </row>
    <row r="17" spans="1:9" ht="14.6" customHeight="1" x14ac:dyDescent="0.4">
      <c r="A17" s="24"/>
      <c r="B17" s="11"/>
      <c r="C17" s="11"/>
      <c r="D17" s="11"/>
      <c r="E17" s="11"/>
      <c r="F17" s="11"/>
      <c r="G17" s="11"/>
      <c r="H17" s="11"/>
      <c r="I17" s="24"/>
    </row>
    <row r="18" spans="1:9" ht="14.6" customHeight="1" x14ac:dyDescent="0.4">
      <c r="A18" s="24"/>
      <c r="B18" s="11"/>
      <c r="C18" s="11"/>
      <c r="D18" s="11"/>
      <c r="E18" s="11"/>
      <c r="F18" s="11"/>
      <c r="G18" s="11"/>
      <c r="H18" s="11"/>
      <c r="I18" s="24"/>
    </row>
    <row r="19" spans="1:9" ht="14.6" customHeight="1" x14ac:dyDescent="0.4">
      <c r="A19" s="24"/>
      <c r="B19" s="11"/>
      <c r="C19" s="11"/>
      <c r="D19" s="11"/>
      <c r="E19" s="11"/>
      <c r="F19" s="11"/>
      <c r="G19" s="11"/>
      <c r="H19" s="11"/>
      <c r="I19" s="24"/>
    </row>
    <row r="20" spans="1:9" ht="14.6" customHeight="1" x14ac:dyDescent="0.4">
      <c r="A20" s="24"/>
      <c r="B20" s="11"/>
      <c r="C20" s="11"/>
      <c r="D20" s="11"/>
      <c r="E20" s="11"/>
      <c r="F20" s="11"/>
      <c r="G20" s="11"/>
      <c r="H20" s="11"/>
      <c r="I20" s="24"/>
    </row>
    <row r="21" spans="1:9" ht="14.6" customHeight="1" x14ac:dyDescent="0.4">
      <c r="A21" s="24"/>
      <c r="B21" s="11"/>
      <c r="C21" s="11"/>
      <c r="D21" s="11"/>
      <c r="E21" s="11"/>
      <c r="F21" s="11"/>
      <c r="G21" s="11"/>
      <c r="H21" s="11"/>
      <c r="I21" s="24"/>
    </row>
    <row r="22" spans="1:9" ht="14.6" customHeight="1" x14ac:dyDescent="0.4">
      <c r="A22" s="24"/>
      <c r="B22" s="11"/>
      <c r="C22" s="11"/>
      <c r="D22" s="11"/>
      <c r="E22" s="11"/>
      <c r="F22" s="11"/>
      <c r="G22" s="11"/>
      <c r="H22" s="11"/>
      <c r="I22" s="24"/>
    </row>
    <row r="23" spans="1:9" ht="14.6" customHeight="1" x14ac:dyDescent="0.4">
      <c r="A23" s="24"/>
      <c r="B23" s="24"/>
      <c r="C23" s="24"/>
      <c r="D23" s="24"/>
      <c r="E23" s="24"/>
      <c r="F23" s="24"/>
      <c r="G23" s="24"/>
      <c r="H23" s="24"/>
      <c r="I23" s="24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Login.fLogou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5</xdr:col>
                    <xdr:colOff>756557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QuoteEntry">
              <controlPr defaultSize="0" print="0" autoFill="0" autoPict="0" macro="[0]!sQuoteEntry.GoHere">
                <anchor moveWithCells="1" sizeWithCells="1">
                  <from>
                    <xdr:col>2</xdr:col>
                    <xdr:colOff>0</xdr:colOff>
                    <xdr:row>5</xdr:row>
                    <xdr:rowOff>185057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Quotation">
              <controlPr defaultSize="0" print="0" autoFill="0" autoPict="0" macro="[0]!sQuotation.GoHere">
                <anchor moveWithCells="1" sizeWithCells="1">
                  <from>
                    <xdr:col>5</xdr:col>
                    <xdr:colOff>0</xdr:colOff>
                    <xdr:row>5</xdr:row>
                    <xdr:rowOff>185057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Premiums">
              <controlPr defaultSize="0" print="0" autoFill="0" autoPict="0" macro="[0]!sAdminPremiums.GoHere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756557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Datastore">
              <controlPr defaultSize="0" print="0" autoFill="0" autoPict="0" macro="[0]!sDatastore.GoHer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Lookup">
              <controlPr defaultSize="0" print="0" autoFill="0" autoPict="0" macro="[0]!sLookup.GoHere">
                <anchor moveWithCells="1" sizeWithCells="1">
                  <from>
                    <xdr:col>2</xdr:col>
                    <xdr:colOff>0</xdr:colOff>
                    <xdr:row>13</xdr:row>
                    <xdr:rowOff>136071</xdr:rowOff>
                  </from>
                  <to>
                    <xdr:col>4</xdr:col>
                    <xdr:colOff>0</xdr:colOff>
                    <xdr:row>15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5E02-6C4F-4086-88BA-6378D7CE916B}">
  <sheetPr codeName="sQuoteEntry"/>
  <dimension ref="A1:I80"/>
  <sheetViews>
    <sheetView topLeftCell="A3" zoomScaleNormal="100" workbookViewId="0">
      <selection activeCell="C17" sqref="C17"/>
    </sheetView>
  </sheetViews>
  <sheetFormatPr defaultRowHeight="14.6" x14ac:dyDescent="0.4"/>
  <cols>
    <col min="1" max="1" width="4.69140625" customWidth="1"/>
    <col min="3" max="3" width="26.3046875" customWidth="1"/>
    <col min="5" max="5" width="26.4609375" customWidth="1"/>
    <col min="9" max="9" width="4.69140625" customWidth="1"/>
  </cols>
  <sheetData>
    <row r="1" spans="1:9" x14ac:dyDescent="0.4">
      <c r="A1" s="24"/>
      <c r="B1" s="24"/>
      <c r="C1" s="24"/>
      <c r="D1" s="24"/>
      <c r="E1" s="24"/>
      <c r="F1" s="24"/>
      <c r="G1" s="24"/>
      <c r="H1" s="24"/>
      <c r="I1" s="24"/>
    </row>
    <row r="2" spans="1:9" x14ac:dyDescent="0.4">
      <c r="A2" s="24"/>
      <c r="B2" s="21"/>
      <c r="C2" s="21"/>
      <c r="D2" s="21"/>
      <c r="E2" s="21"/>
      <c r="F2" s="21"/>
      <c r="G2" s="21"/>
      <c r="H2" s="21"/>
      <c r="I2" s="24"/>
    </row>
    <row r="3" spans="1:9" ht="41.15" x14ac:dyDescent="1.05">
      <c r="A3" s="24"/>
      <c r="B3" s="21"/>
      <c r="C3" s="22" t="s">
        <v>17</v>
      </c>
      <c r="D3" s="21"/>
      <c r="E3" s="21"/>
      <c r="F3" s="21"/>
      <c r="G3" s="21"/>
      <c r="H3" s="21"/>
      <c r="I3" s="24"/>
    </row>
    <row r="4" spans="1:9" ht="15" thickBot="1" x14ac:dyDescent="0.45">
      <c r="A4" s="24"/>
      <c r="B4" s="23"/>
      <c r="C4" s="23"/>
      <c r="D4" s="23"/>
      <c r="E4" s="23"/>
      <c r="F4" s="23"/>
      <c r="G4" s="23"/>
      <c r="H4" s="23"/>
      <c r="I4" s="24"/>
    </row>
    <row r="5" spans="1:9" x14ac:dyDescent="0.4">
      <c r="A5" s="24"/>
      <c r="B5" s="11"/>
      <c r="C5" s="11"/>
      <c r="D5" s="11"/>
      <c r="E5" s="11"/>
      <c r="F5" s="11"/>
      <c r="G5" s="11"/>
      <c r="H5" s="11"/>
      <c r="I5" s="24"/>
    </row>
    <row r="6" spans="1:9" s="2" customFormat="1" ht="23.15" x14ac:dyDescent="0.6">
      <c r="A6" s="25"/>
      <c r="B6" s="12"/>
      <c r="C6" s="15" t="s">
        <v>18</v>
      </c>
      <c r="D6" s="13"/>
      <c r="E6" s="15" t="s">
        <v>102</v>
      </c>
      <c r="F6" s="12"/>
      <c r="G6" s="12"/>
      <c r="H6" s="12"/>
      <c r="I6" s="25"/>
    </row>
    <row r="7" spans="1:9" s="1" customFormat="1" ht="18.899999999999999" x14ac:dyDescent="0.55000000000000004">
      <c r="A7" s="26"/>
      <c r="B7" s="13"/>
      <c r="C7" s="56">
        <f>lCurrQID</f>
        <v>8</v>
      </c>
      <c r="D7" s="13"/>
      <c r="E7" s="31"/>
      <c r="F7" s="13"/>
      <c r="G7" s="13"/>
      <c r="H7" s="13"/>
      <c r="I7" s="26"/>
    </row>
    <row r="8" spans="1:9" x14ac:dyDescent="0.4">
      <c r="A8" s="24"/>
      <c r="B8" s="11"/>
      <c r="C8" s="11"/>
      <c r="D8" s="11"/>
      <c r="E8" s="11"/>
      <c r="F8" s="11"/>
      <c r="G8" s="11"/>
      <c r="H8" s="11"/>
      <c r="I8" s="24"/>
    </row>
    <row r="9" spans="1:9" s="2" customFormat="1" ht="23.15" x14ac:dyDescent="0.6">
      <c r="A9" s="25"/>
      <c r="B9" s="12"/>
      <c r="C9" s="15" t="s">
        <v>32</v>
      </c>
      <c r="D9" s="12"/>
      <c r="E9" s="63"/>
      <c r="F9" s="12"/>
      <c r="G9" s="12"/>
      <c r="H9" s="12"/>
      <c r="I9" s="25"/>
    </row>
    <row r="10" spans="1:9" s="1" customFormat="1" ht="18.899999999999999" x14ac:dyDescent="0.55000000000000004">
      <c r="A10" s="26"/>
      <c r="B10" s="13"/>
      <c r="C10" s="55">
        <f ca="1">lCurrDate</f>
        <v>43704</v>
      </c>
      <c r="D10" s="13"/>
      <c r="E10" s="13"/>
      <c r="F10" s="13"/>
      <c r="G10" s="13"/>
      <c r="H10" s="13"/>
      <c r="I10" s="26"/>
    </row>
    <row r="11" spans="1:9" s="1" customFormat="1" ht="18.45" x14ac:dyDescent="0.5">
      <c r="A11" s="26"/>
      <c r="B11" s="13"/>
      <c r="C11" s="32"/>
      <c r="D11" s="13"/>
      <c r="E11" s="13"/>
      <c r="F11" s="13"/>
      <c r="G11" s="13"/>
      <c r="H11" s="13"/>
      <c r="I11" s="26"/>
    </row>
    <row r="12" spans="1:9" x14ac:dyDescent="0.4">
      <c r="A12" s="24"/>
      <c r="B12" s="11"/>
      <c r="C12" s="11"/>
      <c r="D12" s="11"/>
      <c r="E12" s="11"/>
      <c r="F12" s="11"/>
      <c r="G12" s="11"/>
      <c r="H12" s="11"/>
      <c r="I12" s="24"/>
    </row>
    <row r="13" spans="1:9" x14ac:dyDescent="0.4">
      <c r="A13" s="24"/>
      <c r="B13" s="11"/>
      <c r="C13" s="11"/>
      <c r="D13" s="11"/>
      <c r="E13" s="11"/>
      <c r="F13" s="11"/>
      <c r="G13" s="11"/>
      <c r="H13" s="11"/>
      <c r="I13" s="24"/>
    </row>
    <row r="14" spans="1:9" s="1" customFormat="1" ht="24" thickBot="1" x14ac:dyDescent="0.7">
      <c r="A14" s="26"/>
      <c r="B14" s="18"/>
      <c r="C14" s="19" t="s">
        <v>19</v>
      </c>
      <c r="D14" s="18"/>
      <c r="E14" s="18"/>
      <c r="F14" s="18"/>
      <c r="G14" s="18"/>
      <c r="H14" s="18"/>
      <c r="I14" s="26"/>
    </row>
    <row r="15" spans="1:9" x14ac:dyDescent="0.4">
      <c r="A15" s="24"/>
      <c r="B15" s="11"/>
      <c r="C15" s="11"/>
      <c r="D15" s="11"/>
      <c r="E15" s="11"/>
      <c r="F15" s="11"/>
      <c r="G15" s="11"/>
      <c r="H15" s="11"/>
      <c r="I15" s="24"/>
    </row>
    <row r="16" spans="1:9" s="2" customFormat="1" ht="23.15" x14ac:dyDescent="0.6">
      <c r="A16" s="25"/>
      <c r="B16" s="12"/>
      <c r="C16" s="15" t="s">
        <v>20</v>
      </c>
      <c r="D16" s="12"/>
      <c r="E16" s="12"/>
      <c r="F16" s="12"/>
      <c r="G16" s="12"/>
      <c r="H16" s="12"/>
      <c r="I16" s="25"/>
    </row>
    <row r="17" spans="1:9" s="1" customFormat="1" ht="18.45" x14ac:dyDescent="0.5">
      <c r="A17" s="26"/>
      <c r="B17" s="13"/>
      <c r="C17" s="31"/>
      <c r="D17" s="13"/>
      <c r="E17" s="61"/>
      <c r="F17" s="13"/>
      <c r="G17" s="13"/>
      <c r="H17" s="13"/>
      <c r="I17" s="26"/>
    </row>
    <row r="18" spans="1:9" x14ac:dyDescent="0.4">
      <c r="A18" s="24"/>
      <c r="B18" s="11"/>
      <c r="C18" s="11"/>
      <c r="D18" s="11"/>
      <c r="E18" s="11"/>
      <c r="F18" s="11"/>
      <c r="G18" s="11"/>
      <c r="H18" s="11"/>
      <c r="I18" s="24"/>
    </row>
    <row r="19" spans="1:9" s="2" customFormat="1" ht="23.15" x14ac:dyDescent="0.6">
      <c r="A19" s="25"/>
      <c r="B19" s="12"/>
      <c r="C19" s="15" t="s">
        <v>21</v>
      </c>
      <c r="D19" s="12"/>
      <c r="E19" s="64"/>
      <c r="F19" s="12"/>
      <c r="G19" s="12"/>
      <c r="H19" s="12"/>
      <c r="I19" s="25"/>
    </row>
    <row r="20" spans="1:9" s="1" customFormat="1" ht="18.45" x14ac:dyDescent="0.5">
      <c r="A20" s="26"/>
      <c r="B20" s="13"/>
      <c r="C20" s="31"/>
      <c r="D20" s="13"/>
      <c r="E20" s="61"/>
      <c r="F20" s="13"/>
      <c r="G20" s="13"/>
      <c r="H20" s="13"/>
      <c r="I20" s="26"/>
    </row>
    <row r="21" spans="1:9" x14ac:dyDescent="0.4">
      <c r="A21" s="24"/>
      <c r="B21" s="11"/>
      <c r="C21" s="11"/>
      <c r="D21" s="11"/>
      <c r="E21" s="11"/>
      <c r="F21" s="11"/>
      <c r="G21" s="11"/>
      <c r="H21" s="11"/>
      <c r="I21" s="24"/>
    </row>
    <row r="22" spans="1:9" s="2" customFormat="1" ht="23.15" x14ac:dyDescent="0.6">
      <c r="A22" s="25"/>
      <c r="B22" s="12"/>
      <c r="C22" s="15" t="s">
        <v>22</v>
      </c>
      <c r="D22" s="12"/>
      <c r="E22" s="12"/>
      <c r="F22" s="12"/>
      <c r="G22" s="12"/>
      <c r="H22" s="12"/>
      <c r="I22" s="25"/>
    </row>
    <row r="23" spans="1:9" s="1" customFormat="1" ht="18.45" x14ac:dyDescent="0.5">
      <c r="A23" s="26"/>
      <c r="B23" s="13"/>
      <c r="C23" s="16"/>
      <c r="D23" s="13"/>
      <c r="E23" s="61"/>
      <c r="F23" s="13"/>
      <c r="G23" s="13"/>
      <c r="H23" s="13"/>
      <c r="I23" s="26"/>
    </row>
    <row r="24" spans="1:9" x14ac:dyDescent="0.4">
      <c r="A24" s="24"/>
      <c r="B24" s="11"/>
      <c r="C24" s="11"/>
      <c r="D24" s="11"/>
      <c r="E24" s="11"/>
      <c r="F24" s="11"/>
      <c r="G24" s="11"/>
      <c r="H24" s="11"/>
      <c r="I24" s="24"/>
    </row>
    <row r="25" spans="1:9" s="2" customFormat="1" ht="23.15" x14ac:dyDescent="0.6">
      <c r="A25" s="25"/>
      <c r="B25" s="12"/>
      <c r="C25" s="15" t="s">
        <v>23</v>
      </c>
      <c r="D25" s="12"/>
      <c r="E25" s="12"/>
      <c r="F25" s="12"/>
      <c r="G25" s="12"/>
      <c r="H25" s="12"/>
      <c r="I25" s="25"/>
    </row>
    <row r="26" spans="1:9" s="1" customFormat="1" ht="18.45" x14ac:dyDescent="0.5">
      <c r="A26" s="26"/>
      <c r="B26" s="13"/>
      <c r="C26" s="33"/>
      <c r="D26" s="13"/>
      <c r="E26" s="61"/>
      <c r="F26" s="13"/>
      <c r="G26" s="13"/>
      <c r="H26" s="13"/>
      <c r="I26" s="26"/>
    </row>
    <row r="27" spans="1:9" x14ac:dyDescent="0.4">
      <c r="A27" s="24"/>
      <c r="B27" s="11"/>
      <c r="C27" s="11"/>
      <c r="D27" s="11"/>
      <c r="E27" s="11"/>
      <c r="F27" s="11"/>
      <c r="G27" s="11"/>
      <c r="H27" s="11"/>
      <c r="I27" s="24"/>
    </row>
    <row r="28" spans="1:9" s="2" customFormat="1" ht="23.15" x14ac:dyDescent="0.6">
      <c r="A28" s="25"/>
      <c r="B28" s="12"/>
      <c r="C28" s="15" t="s">
        <v>24</v>
      </c>
      <c r="D28" s="12"/>
      <c r="E28" s="12"/>
      <c r="F28" s="12"/>
      <c r="G28" s="12"/>
      <c r="H28" s="12"/>
      <c r="I28" s="25"/>
    </row>
    <row r="29" spans="1:9" s="1" customFormat="1" ht="18.45" x14ac:dyDescent="0.5">
      <c r="A29" s="26"/>
      <c r="B29" s="13"/>
      <c r="C29" s="31"/>
      <c r="D29" s="13"/>
      <c r="E29" s="61"/>
      <c r="F29" s="13"/>
      <c r="G29" s="13"/>
      <c r="H29" s="13"/>
      <c r="I29" s="26"/>
    </row>
    <row r="30" spans="1:9" x14ac:dyDescent="0.4">
      <c r="A30" s="24"/>
      <c r="B30" s="11"/>
      <c r="C30" s="11"/>
      <c r="D30" s="11"/>
      <c r="E30" s="11"/>
      <c r="F30" s="11"/>
      <c r="G30" s="11"/>
      <c r="H30" s="11"/>
      <c r="I30" s="24"/>
    </row>
    <row r="31" spans="1:9" s="2" customFormat="1" ht="23.15" x14ac:dyDescent="0.6">
      <c r="A31" s="25"/>
      <c r="B31" s="12"/>
      <c r="C31" s="15" t="s">
        <v>73</v>
      </c>
      <c r="D31" s="12"/>
      <c r="E31" s="12"/>
      <c r="F31" s="12"/>
      <c r="G31" s="12"/>
      <c r="H31" s="12"/>
      <c r="I31" s="25"/>
    </row>
    <row r="32" spans="1:9" s="1" customFormat="1" ht="18.45" x14ac:dyDescent="0.5">
      <c r="A32" s="26"/>
      <c r="B32" s="13"/>
      <c r="C32" s="31"/>
      <c r="D32" s="13"/>
      <c r="E32" s="61"/>
      <c r="F32" s="13"/>
      <c r="G32" s="13"/>
      <c r="H32" s="13"/>
      <c r="I32" s="26"/>
    </row>
    <row r="33" spans="1:9" x14ac:dyDescent="0.4">
      <c r="A33" s="24"/>
      <c r="B33" s="11"/>
      <c r="C33" s="11"/>
      <c r="D33" s="11"/>
      <c r="E33" s="11"/>
      <c r="F33" s="11"/>
      <c r="G33" s="11"/>
      <c r="H33" s="11"/>
      <c r="I33" s="24"/>
    </row>
    <row r="34" spans="1:9" s="1" customFormat="1" ht="18.45" x14ac:dyDescent="0.5">
      <c r="A34" s="26"/>
      <c r="B34" s="13"/>
      <c r="C34" s="15" t="s">
        <v>58</v>
      </c>
      <c r="D34" s="13"/>
      <c r="E34" s="13"/>
      <c r="F34" s="13"/>
      <c r="G34" s="13"/>
      <c r="H34" s="13"/>
      <c r="I34" s="26"/>
    </row>
    <row r="35" spans="1:9" s="1" customFormat="1" ht="18.45" x14ac:dyDescent="0.5">
      <c r="A35" s="26"/>
      <c r="B35" s="13"/>
      <c r="C35" s="16"/>
      <c r="D35" s="13"/>
      <c r="E35" s="61"/>
      <c r="F35" s="13"/>
      <c r="G35" s="13"/>
      <c r="H35" s="13"/>
      <c r="I35" s="26"/>
    </row>
    <row r="36" spans="1:9" s="37" customFormat="1" x14ac:dyDescent="0.4">
      <c r="A36" s="35"/>
      <c r="B36" s="36"/>
      <c r="C36" s="36"/>
      <c r="D36" s="36"/>
      <c r="E36" s="36"/>
      <c r="F36" s="36"/>
      <c r="G36" s="36"/>
      <c r="H36" s="36"/>
      <c r="I36" s="35"/>
    </row>
    <row r="37" spans="1:9" s="2" customFormat="1" ht="23.15" x14ac:dyDescent="0.6">
      <c r="A37" s="25"/>
      <c r="B37" s="12"/>
      <c r="C37" s="15" t="s">
        <v>25</v>
      </c>
      <c r="D37" s="12"/>
      <c r="E37" s="12"/>
      <c r="F37" s="12"/>
      <c r="G37" s="12"/>
      <c r="H37" s="12"/>
      <c r="I37" s="25"/>
    </row>
    <row r="38" spans="1:9" s="1" customFormat="1" ht="18.45" x14ac:dyDescent="0.5">
      <c r="A38" s="26"/>
      <c r="B38" s="13"/>
      <c r="C38" s="31"/>
      <c r="D38" s="13"/>
      <c r="E38" s="61"/>
      <c r="F38" s="13"/>
      <c r="G38" s="13"/>
      <c r="H38" s="13"/>
      <c r="I38" s="26"/>
    </row>
    <row r="39" spans="1:9" x14ac:dyDescent="0.4">
      <c r="A39" s="24"/>
      <c r="B39" s="11"/>
      <c r="C39" s="11"/>
      <c r="D39" s="11"/>
      <c r="E39" s="11"/>
      <c r="F39" s="11"/>
      <c r="G39" s="11"/>
      <c r="H39" s="11"/>
      <c r="I39" s="24"/>
    </row>
    <row r="40" spans="1:9" s="2" customFormat="1" ht="23.15" x14ac:dyDescent="0.6">
      <c r="A40" s="25"/>
      <c r="B40" s="12"/>
      <c r="C40" s="15" t="s">
        <v>57</v>
      </c>
      <c r="D40" s="12"/>
      <c r="E40" s="12"/>
      <c r="F40" s="12"/>
      <c r="G40" s="12"/>
      <c r="H40" s="12"/>
      <c r="I40" s="25"/>
    </row>
    <row r="41" spans="1:9" s="1" customFormat="1" ht="18.45" x14ac:dyDescent="0.5">
      <c r="A41" s="26"/>
      <c r="B41" s="13"/>
      <c r="C41" s="31"/>
      <c r="D41" s="13"/>
      <c r="E41" s="61"/>
      <c r="F41" s="13"/>
      <c r="G41" s="13"/>
      <c r="H41" s="13"/>
      <c r="I41" s="26"/>
    </row>
    <row r="42" spans="1:9" s="1" customFormat="1" ht="18.45" x14ac:dyDescent="0.5">
      <c r="A42" s="26"/>
      <c r="B42" s="13"/>
      <c r="C42" s="17"/>
      <c r="D42" s="13"/>
      <c r="E42" s="13"/>
      <c r="F42" s="13"/>
      <c r="G42" s="13"/>
      <c r="H42" s="13"/>
      <c r="I42" s="26"/>
    </row>
    <row r="43" spans="1:9" x14ac:dyDescent="0.4">
      <c r="A43" s="24"/>
      <c r="B43" s="11"/>
      <c r="C43" s="11"/>
      <c r="D43" s="11"/>
      <c r="E43" s="11"/>
      <c r="F43" s="11"/>
      <c r="G43" s="11"/>
      <c r="H43" s="11"/>
      <c r="I43" s="24"/>
    </row>
    <row r="44" spans="1:9" s="1" customFormat="1" ht="24" thickBot="1" x14ac:dyDescent="0.7">
      <c r="A44" s="26"/>
      <c r="B44" s="18"/>
      <c r="C44" s="19" t="s">
        <v>26</v>
      </c>
      <c r="D44" s="18"/>
      <c r="E44" s="18"/>
      <c r="F44" s="18"/>
      <c r="G44" s="18"/>
      <c r="H44" s="18"/>
      <c r="I44" s="26"/>
    </row>
    <row r="45" spans="1:9" s="37" customFormat="1" x14ac:dyDescent="0.4">
      <c r="A45" s="35"/>
      <c r="B45" s="41"/>
      <c r="C45" s="42"/>
      <c r="D45" s="41"/>
      <c r="E45" s="41"/>
      <c r="F45" s="41"/>
      <c r="G45" s="41"/>
      <c r="H45" s="41"/>
      <c r="I45" s="35"/>
    </row>
    <row r="46" spans="1:9" s="1" customFormat="1" ht="18.45" x14ac:dyDescent="0.5">
      <c r="A46" s="26"/>
      <c r="B46" s="40"/>
      <c r="C46" s="43" t="s">
        <v>52</v>
      </c>
      <c r="D46" s="40"/>
      <c r="E46" s="40"/>
      <c r="F46" s="40"/>
      <c r="G46" s="40"/>
      <c r="H46" s="40"/>
      <c r="I46" s="26"/>
    </row>
    <row r="47" spans="1:9" s="1" customFormat="1" ht="18.45" x14ac:dyDescent="0.5">
      <c r="A47" s="26"/>
      <c r="B47" s="40"/>
      <c r="C47" s="31"/>
      <c r="D47" s="40"/>
      <c r="E47" s="62"/>
      <c r="F47" s="40"/>
      <c r="G47" s="40"/>
      <c r="H47" s="40"/>
      <c r="I47" s="26"/>
    </row>
    <row r="48" spans="1:9" x14ac:dyDescent="0.4">
      <c r="A48" s="24"/>
      <c r="B48" s="11"/>
      <c r="C48" s="11"/>
      <c r="D48" s="11"/>
      <c r="E48" s="11"/>
      <c r="F48" s="11"/>
      <c r="G48" s="11"/>
      <c r="H48" s="11"/>
      <c r="I48" s="24"/>
    </row>
    <row r="49" spans="1:9" s="2" customFormat="1" ht="23.15" x14ac:dyDescent="0.6">
      <c r="A49" s="25"/>
      <c r="B49" s="12"/>
      <c r="C49" s="15" t="s">
        <v>28</v>
      </c>
      <c r="D49" s="12"/>
      <c r="E49" s="12"/>
      <c r="F49" s="12"/>
      <c r="G49" s="12"/>
      <c r="H49" s="12"/>
      <c r="I49" s="25"/>
    </row>
    <row r="50" spans="1:9" s="1" customFormat="1" ht="18.45" x14ac:dyDescent="0.5">
      <c r="A50" s="26"/>
      <c r="B50" s="13"/>
      <c r="C50" s="75"/>
      <c r="D50" s="13"/>
      <c r="E50" s="61"/>
      <c r="F50" s="13"/>
      <c r="G50" s="13"/>
      <c r="H50" s="13"/>
      <c r="I50" s="26"/>
    </row>
    <row r="51" spans="1:9" x14ac:dyDescent="0.4">
      <c r="A51" s="24"/>
      <c r="B51" s="11"/>
      <c r="C51" s="11"/>
      <c r="D51" s="11"/>
      <c r="E51" s="11"/>
      <c r="F51" s="11"/>
      <c r="G51" s="11"/>
      <c r="H51" s="11"/>
      <c r="I51" s="24"/>
    </row>
    <row r="52" spans="1:9" s="2" customFormat="1" ht="23.15" x14ac:dyDescent="0.6">
      <c r="A52" s="25"/>
      <c r="B52" s="12"/>
      <c r="C52" s="15" t="s">
        <v>27</v>
      </c>
      <c r="D52" s="12"/>
      <c r="E52" s="12"/>
      <c r="F52" s="12"/>
      <c r="G52" s="12"/>
      <c r="H52" s="12"/>
      <c r="I52" s="25"/>
    </row>
    <row r="53" spans="1:9" s="1" customFormat="1" ht="18.45" x14ac:dyDescent="0.5">
      <c r="A53" s="26"/>
      <c r="B53" s="13"/>
      <c r="C53" s="75"/>
      <c r="D53" s="13"/>
      <c r="E53" s="61"/>
      <c r="F53" s="13"/>
      <c r="G53" s="13"/>
      <c r="H53" s="13"/>
      <c r="I53" s="26"/>
    </row>
    <row r="54" spans="1:9" x14ac:dyDescent="0.4">
      <c r="A54" s="24"/>
      <c r="B54" s="11"/>
      <c r="C54" s="11"/>
      <c r="D54" s="11"/>
      <c r="E54" s="11"/>
      <c r="F54" s="11"/>
      <c r="G54" s="11"/>
      <c r="H54" s="11"/>
      <c r="I54" s="24"/>
    </row>
    <row r="55" spans="1:9" s="2" customFormat="1" ht="23.15" x14ac:dyDescent="0.6">
      <c r="A55" s="25"/>
      <c r="B55" s="12"/>
      <c r="C55" s="15" t="s">
        <v>99</v>
      </c>
      <c r="D55" s="12"/>
      <c r="E55" s="12"/>
      <c r="F55" s="12"/>
      <c r="G55" s="12"/>
      <c r="H55" s="12"/>
      <c r="I55" s="25"/>
    </row>
    <row r="56" spans="1:9" s="1" customFormat="1" ht="18.45" x14ac:dyDescent="0.5">
      <c r="A56" s="26"/>
      <c r="B56" s="13"/>
      <c r="C56" s="44"/>
      <c r="D56" s="13"/>
      <c r="E56" s="61"/>
      <c r="F56" s="13"/>
      <c r="G56" s="13"/>
      <c r="H56" s="13"/>
      <c r="I56" s="26"/>
    </row>
    <row r="57" spans="1:9" x14ac:dyDescent="0.4">
      <c r="A57" s="24"/>
      <c r="B57" s="11"/>
      <c r="C57" s="11"/>
      <c r="D57" s="11"/>
      <c r="E57" s="11"/>
      <c r="F57" s="11"/>
      <c r="G57" s="11"/>
      <c r="H57" s="11"/>
      <c r="I57" s="24"/>
    </row>
    <row r="58" spans="1:9" s="2" customFormat="1" ht="23.15" x14ac:dyDescent="0.6">
      <c r="A58" s="25"/>
      <c r="B58" s="12"/>
      <c r="C58" s="12"/>
      <c r="D58" s="12"/>
      <c r="E58" s="12"/>
      <c r="F58" s="12"/>
      <c r="G58" s="12"/>
      <c r="H58" s="12"/>
      <c r="I58" s="25"/>
    </row>
    <row r="59" spans="1:9" s="1" customFormat="1" ht="24" thickBot="1" x14ac:dyDescent="0.7">
      <c r="A59" s="26"/>
      <c r="B59" s="18"/>
      <c r="C59" s="19" t="s">
        <v>47</v>
      </c>
      <c r="D59" s="18"/>
      <c r="E59" s="18"/>
      <c r="F59" s="18"/>
      <c r="G59" s="18"/>
      <c r="H59" s="18"/>
      <c r="I59" s="26"/>
    </row>
    <row r="60" spans="1:9" s="1" customFormat="1" ht="18.45" x14ac:dyDescent="0.5">
      <c r="A60" s="26"/>
      <c r="B60" s="13"/>
      <c r="C60" s="17"/>
      <c r="D60" s="13"/>
      <c r="E60" s="13"/>
      <c r="F60" s="13"/>
      <c r="G60" s="13"/>
      <c r="H60" s="13"/>
      <c r="I60" s="26"/>
    </row>
    <row r="61" spans="1:9" s="37" customFormat="1" ht="18.45" x14ac:dyDescent="0.5">
      <c r="A61" s="35"/>
      <c r="B61" s="36"/>
      <c r="C61" s="15" t="s">
        <v>33</v>
      </c>
      <c r="D61" s="36"/>
      <c r="E61" s="36"/>
      <c r="F61" s="36"/>
      <c r="G61" s="36"/>
      <c r="H61" s="36"/>
      <c r="I61" s="35"/>
    </row>
    <row r="62" spans="1:9" s="37" customFormat="1" ht="18.45" x14ac:dyDescent="0.5">
      <c r="A62" s="35"/>
      <c r="B62" s="36"/>
      <c r="C62" s="39"/>
      <c r="D62" s="36"/>
      <c r="E62" s="61"/>
      <c r="F62" s="36"/>
      <c r="G62" s="36"/>
      <c r="H62" s="36"/>
      <c r="I62" s="35"/>
    </row>
    <row r="63" spans="1:9" s="37" customFormat="1" ht="15.9" x14ac:dyDescent="0.45">
      <c r="A63" s="35"/>
      <c r="B63" s="36"/>
      <c r="C63" s="38"/>
      <c r="D63" s="36"/>
      <c r="E63" s="36"/>
      <c r="F63" s="36"/>
      <c r="G63" s="36"/>
      <c r="H63" s="36"/>
      <c r="I63" s="35"/>
    </row>
    <row r="64" spans="1:9" x14ac:dyDescent="0.4">
      <c r="A64" s="24"/>
      <c r="B64" s="11"/>
      <c r="C64" s="11"/>
      <c r="D64" s="11"/>
      <c r="E64" s="11"/>
      <c r="F64" s="11"/>
      <c r="G64" s="11"/>
      <c r="H64" s="11"/>
      <c r="I64" s="24"/>
    </row>
    <row r="65" spans="1:9" s="1" customFormat="1" ht="24" thickBot="1" x14ac:dyDescent="0.7">
      <c r="A65" s="26"/>
      <c r="B65" s="18"/>
      <c r="C65" s="20" t="s">
        <v>35</v>
      </c>
      <c r="D65" s="18"/>
      <c r="E65" s="18"/>
      <c r="F65" s="18"/>
      <c r="G65" s="18"/>
      <c r="H65" s="18"/>
      <c r="I65" s="26"/>
    </row>
    <row r="66" spans="1:9" x14ac:dyDescent="0.4">
      <c r="A66" s="24"/>
      <c r="B66" s="11"/>
      <c r="C66" s="11"/>
      <c r="D66" s="11"/>
      <c r="E66" s="11"/>
      <c r="F66" s="11"/>
      <c r="G66" s="11"/>
      <c r="H66" s="11"/>
      <c r="I66" s="24"/>
    </row>
    <row r="67" spans="1:9" s="2" customFormat="1" ht="23.15" x14ac:dyDescent="0.6">
      <c r="A67" s="25"/>
      <c r="B67" s="12"/>
      <c r="C67" s="15" t="s">
        <v>50</v>
      </c>
      <c r="D67" s="12"/>
      <c r="E67" s="15" t="s">
        <v>51</v>
      </c>
      <c r="F67" s="12"/>
      <c r="G67" s="12"/>
      <c r="H67" s="12"/>
      <c r="I67" s="25"/>
    </row>
    <row r="68" spans="1:9" s="1" customFormat="1" ht="18.899999999999999" x14ac:dyDescent="0.55000000000000004">
      <c r="A68" s="26"/>
      <c r="B68" s="13"/>
      <c r="C68" s="57">
        <f>IFERROR(INDEX(lBasePremiumCar,cEntryClassification,2)*VLOOKUP(cEntryPower, lFactorPower,2)*INDEX(lFactorGender,cEntryGender,2)*INDEX(lFactorAge,cEntryGender,2)*INDEX(lFactorResidenceClass,cEntryResidenceClass,2),0)</f>
        <v>0</v>
      </c>
      <c r="D68" s="13"/>
      <c r="E68" s="57">
        <f>IFERROR(cTextAnnual*INDEX(lPlans,cEntryPlan,2),0)</f>
        <v>0</v>
      </c>
      <c r="F68" s="13"/>
      <c r="G68" s="13"/>
      <c r="H68" s="13"/>
      <c r="I68" s="26"/>
    </row>
    <row r="69" spans="1:9" x14ac:dyDescent="0.4">
      <c r="A69" s="24"/>
      <c r="B69" s="11"/>
      <c r="C69" s="11"/>
      <c r="D69" s="11"/>
      <c r="E69" s="11"/>
      <c r="F69" s="11"/>
      <c r="G69" s="11"/>
      <c r="H69" s="11"/>
      <c r="I69" s="24"/>
    </row>
    <row r="70" spans="1:9" s="2" customFormat="1" ht="23.15" x14ac:dyDescent="0.6">
      <c r="A70" s="25"/>
      <c r="B70" s="12"/>
      <c r="C70" s="15" t="s">
        <v>34</v>
      </c>
      <c r="D70" s="12"/>
      <c r="E70" s="12"/>
      <c r="F70" s="12"/>
      <c r="G70" s="12"/>
      <c r="H70" s="12"/>
      <c r="I70" s="25"/>
    </row>
    <row r="71" spans="1:9" s="1" customFormat="1" ht="18.899999999999999" x14ac:dyDescent="0.55000000000000004">
      <c r="A71" s="26"/>
      <c r="B71" s="13"/>
      <c r="C71" s="57">
        <f>IFERROR(cTextAnnualDiscount/INDEX(lPlans,cEntryPlan,3),0)</f>
        <v>0</v>
      </c>
      <c r="D71" s="15" t="str">
        <f>IFERROR(INDEX(lPlans,cEntryPlan,4),"")</f>
        <v/>
      </c>
      <c r="E71" s="13"/>
      <c r="F71" s="13"/>
      <c r="G71" s="13"/>
      <c r="H71" s="13"/>
      <c r="I71" s="26"/>
    </row>
    <row r="72" spans="1:9" s="37" customFormat="1" x14ac:dyDescent="0.4">
      <c r="A72" s="35"/>
      <c r="B72" s="36"/>
      <c r="C72" s="36"/>
      <c r="D72" s="36"/>
      <c r="E72" s="36"/>
      <c r="F72" s="36"/>
      <c r="G72" s="36"/>
      <c r="H72" s="36"/>
      <c r="I72" s="35"/>
    </row>
    <row r="73" spans="1:9" ht="15" thickBot="1" x14ac:dyDescent="0.45">
      <c r="A73" s="24"/>
      <c r="B73" s="27"/>
      <c r="C73" s="27"/>
      <c r="D73" s="27"/>
      <c r="E73" s="27"/>
      <c r="F73" s="27"/>
      <c r="G73" s="27"/>
      <c r="H73" s="27"/>
      <c r="I73" s="24"/>
    </row>
    <row r="74" spans="1:9" x14ac:dyDescent="0.4">
      <c r="A74" s="24"/>
      <c r="B74" s="11"/>
      <c r="C74" s="11"/>
      <c r="D74" s="11"/>
      <c r="E74" s="11"/>
      <c r="F74" s="11"/>
      <c r="G74" s="11"/>
      <c r="H74" s="11"/>
      <c r="I74" s="24"/>
    </row>
    <row r="75" spans="1:9" x14ac:dyDescent="0.4">
      <c r="A75" s="24"/>
      <c r="B75" s="11"/>
      <c r="C75" s="11"/>
      <c r="D75" s="11"/>
      <c r="E75" s="11"/>
      <c r="F75" s="11"/>
      <c r="G75" s="11"/>
      <c r="H75" s="11"/>
      <c r="I75" s="24"/>
    </row>
    <row r="76" spans="1:9" s="3" customFormat="1" ht="28.3" x14ac:dyDescent="0.75">
      <c r="A76" s="28"/>
      <c r="B76" s="29"/>
      <c r="C76" s="30"/>
      <c r="D76" s="29"/>
      <c r="E76" s="30"/>
      <c r="F76" s="29"/>
      <c r="G76" s="29"/>
      <c r="H76" s="29"/>
      <c r="I76" s="28"/>
    </row>
    <row r="77" spans="1:9" x14ac:dyDescent="0.4">
      <c r="A77" s="24"/>
      <c r="B77" s="11"/>
      <c r="C77" s="11"/>
      <c r="D77" s="11"/>
      <c r="E77" s="11"/>
      <c r="F77" s="11"/>
      <c r="G77" s="11"/>
      <c r="H77" s="11"/>
      <c r="I77" s="24"/>
    </row>
    <row r="78" spans="1:9" x14ac:dyDescent="0.4">
      <c r="A78" s="24"/>
      <c r="B78" s="11"/>
      <c r="C78" s="11"/>
      <c r="D78" s="11"/>
      <c r="E78" s="11"/>
      <c r="F78" s="11"/>
      <c r="G78" s="11"/>
      <c r="H78" s="11"/>
      <c r="I78" s="24"/>
    </row>
    <row r="79" spans="1:9" x14ac:dyDescent="0.4">
      <c r="A79" s="24"/>
      <c r="B79" s="11"/>
      <c r="C79" s="11"/>
      <c r="D79" s="11"/>
      <c r="E79" s="11"/>
      <c r="F79" s="11"/>
      <c r="G79" s="11"/>
      <c r="H79" s="11"/>
      <c r="I79" s="24"/>
    </row>
    <row r="80" spans="1:9" x14ac:dyDescent="0.4">
      <c r="A80" s="24"/>
      <c r="B80" s="24"/>
      <c r="C80" s="24"/>
      <c r="D80" s="24"/>
      <c r="E80" s="24"/>
      <c r="F80" s="24"/>
      <c r="G80" s="24"/>
      <c r="H80" s="24"/>
      <c r="I80" s="24"/>
    </row>
  </sheetData>
  <sheetProtection sheet="1" objects="1" scenarios="1" selectLockedCell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Drop Down 3">
              <controlPr defaultSize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4">
              <controlPr defaultSize="0" autoLine="0" autoPict="0">
                <anchor moveWithCells="1">
                  <from>
                    <xdr:col>2</xdr:col>
                    <xdr:colOff>0</xdr:colOff>
                    <xdr:row>61</xdr:row>
                    <xdr:rowOff>0</xdr:rowOff>
                  </from>
                  <to>
                    <xdr:col>3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Drop Down 7">
              <controlPr defaultSize="0" autoLine="0" autoPict="0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Drop Down 9">
              <controlPr defaultSize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ClearQuote">
              <controlPr defaultSize="0" print="0" autoFill="0" autoPict="0" macro="[0]!sQuoteEntry.fBlankQuote">
                <anchor moveWithCells="1" siz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SubmitQuote">
              <controlPr defaultSize="0" print="0" autoFill="0" autoPict="0" macro="[0]!sQuoteEntry.fSubmitQuote">
                <anchor moveWithCells="1" sizeWithCells="1">
                  <from>
                    <xdr:col>3</xdr:col>
                    <xdr:colOff>647700</xdr:colOff>
                    <xdr:row>74</xdr:row>
                    <xdr:rowOff>174171</xdr:rowOff>
                  </from>
                  <to>
                    <xdr:col>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sMainMenu.GoHere">
                <anchor moveWithCells="1" sizeWithCells="1">
                  <from>
                    <xdr:col>6</xdr:col>
                    <xdr:colOff>0</xdr:colOff>
                    <xdr:row>75</xdr:row>
                    <xdr:rowOff>0</xdr:rowOff>
                  </from>
                  <to>
                    <xdr:col>7</xdr:col>
                    <xdr:colOff>332014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89260-A36C-48BF-AD98-759C986EE5DA}">
  <sheetPr codeName="sQuotation"/>
  <dimension ref="A1:I40"/>
  <sheetViews>
    <sheetView topLeftCell="A2" zoomScale="93" zoomScaleNormal="100" workbookViewId="0">
      <selection activeCell="G16" sqref="G16"/>
    </sheetView>
  </sheetViews>
  <sheetFormatPr defaultRowHeight="14.6" x14ac:dyDescent="0.4"/>
  <cols>
    <col min="1" max="1" width="4.69140625" customWidth="1"/>
    <col min="9" max="9" width="4.69140625" customWidth="1"/>
    <col min="10" max="10" width="2.4609375" customWidth="1"/>
  </cols>
  <sheetData>
    <row r="1" spans="1:9" ht="14.6" customHeight="1" x14ac:dyDescent="0.4">
      <c r="A1" s="24"/>
      <c r="B1" s="24"/>
      <c r="C1" s="24"/>
      <c r="D1" s="24"/>
      <c r="E1" s="24"/>
      <c r="F1" s="24"/>
      <c r="G1" s="24"/>
      <c r="H1" s="24"/>
      <c r="I1" s="24"/>
    </row>
    <row r="2" spans="1:9" x14ac:dyDescent="0.4">
      <c r="A2" s="24"/>
      <c r="B2" s="21"/>
      <c r="C2" s="21"/>
      <c r="D2" s="21"/>
      <c r="E2" s="21"/>
      <c r="F2" s="21"/>
      <c r="G2" s="21"/>
      <c r="H2" s="21"/>
      <c r="I2" s="24"/>
    </row>
    <row r="3" spans="1:9" ht="41.15" x14ac:dyDescent="1.05">
      <c r="A3" s="24"/>
      <c r="B3" s="21"/>
      <c r="C3" s="21"/>
      <c r="D3" s="21"/>
      <c r="E3" s="52" t="s">
        <v>76</v>
      </c>
      <c r="F3" s="21"/>
      <c r="G3" s="21"/>
      <c r="H3" s="21"/>
      <c r="I3" s="24"/>
    </row>
    <row r="4" spans="1:9" ht="15" thickBot="1" x14ac:dyDescent="0.45">
      <c r="A4" s="24"/>
      <c r="B4" s="53"/>
      <c r="C4" s="53"/>
      <c r="D4" s="53"/>
      <c r="E4" s="53"/>
      <c r="F4" s="53"/>
      <c r="G4" s="53"/>
      <c r="H4" s="53"/>
      <c r="I4" s="24"/>
    </row>
    <row r="5" spans="1:9" ht="15" thickBot="1" x14ac:dyDescent="0.45">
      <c r="A5" s="24"/>
      <c r="B5" s="11"/>
      <c r="C5" s="11"/>
      <c r="D5" s="11"/>
      <c r="E5" s="11"/>
      <c r="F5" s="11"/>
      <c r="G5" s="11"/>
      <c r="H5" s="11"/>
      <c r="I5" s="24"/>
    </row>
    <row r="6" spans="1:9" x14ac:dyDescent="0.4">
      <c r="A6" s="24"/>
      <c r="B6" s="11"/>
      <c r="C6" s="54" t="s">
        <v>18</v>
      </c>
      <c r="D6" s="76">
        <v>7</v>
      </c>
      <c r="E6" s="11"/>
      <c r="F6" s="54"/>
      <c r="G6" s="11"/>
      <c r="H6" s="11"/>
      <c r="I6" s="24"/>
    </row>
    <row r="7" spans="1:9" x14ac:dyDescent="0.4">
      <c r="A7" s="24"/>
      <c r="B7" s="58"/>
      <c r="C7" s="58"/>
      <c r="D7" s="58"/>
      <c r="E7" s="58"/>
      <c r="F7" s="58"/>
      <c r="G7" s="58"/>
      <c r="H7" s="58"/>
      <c r="I7" s="24"/>
    </row>
    <row r="8" spans="1:9" x14ac:dyDescent="0.4">
      <c r="A8" s="24"/>
      <c r="B8" s="60"/>
      <c r="C8" s="60"/>
      <c r="D8" s="60"/>
      <c r="E8" s="60"/>
      <c r="F8" s="60"/>
      <c r="G8" s="60"/>
      <c r="H8" s="60"/>
      <c r="I8" s="24"/>
    </row>
    <row r="9" spans="1:9" x14ac:dyDescent="0.4">
      <c r="A9" s="24"/>
      <c r="B9" s="59"/>
      <c r="C9" s="59"/>
      <c r="D9" s="59"/>
      <c r="E9" s="59"/>
      <c r="F9" s="59"/>
      <c r="G9" s="59"/>
      <c r="H9" s="59"/>
      <c r="I9" s="24"/>
    </row>
    <row r="10" spans="1:9" x14ac:dyDescent="0.4">
      <c r="A10" s="24"/>
      <c r="I10" s="24"/>
    </row>
    <row r="11" spans="1:9" x14ac:dyDescent="0.4">
      <c r="A11" s="24"/>
      <c r="I11" s="24"/>
    </row>
    <row r="12" spans="1:9" x14ac:dyDescent="0.4">
      <c r="A12" s="24"/>
      <c r="I12" s="24"/>
    </row>
    <row r="13" spans="1:9" x14ac:dyDescent="0.4">
      <c r="A13" s="24"/>
      <c r="I13" s="24"/>
    </row>
    <row r="14" spans="1:9" x14ac:dyDescent="0.4">
      <c r="A14" s="24"/>
      <c r="I14" s="24"/>
    </row>
    <row r="15" spans="1:9" x14ac:dyDescent="0.4">
      <c r="A15" s="24"/>
      <c r="I15" s="24"/>
    </row>
    <row r="16" spans="1:9" x14ac:dyDescent="0.4">
      <c r="A16" s="24"/>
      <c r="I16" s="24"/>
    </row>
    <row r="17" spans="1:9" x14ac:dyDescent="0.4">
      <c r="A17" s="24"/>
      <c r="I17" s="24"/>
    </row>
    <row r="18" spans="1:9" x14ac:dyDescent="0.4">
      <c r="A18" s="24"/>
      <c r="I18" s="24"/>
    </row>
    <row r="19" spans="1:9" x14ac:dyDescent="0.4">
      <c r="A19" s="24"/>
      <c r="I19" s="24"/>
    </row>
    <row r="20" spans="1:9" x14ac:dyDescent="0.4">
      <c r="A20" s="24"/>
      <c r="I20" s="24"/>
    </row>
    <row r="21" spans="1:9" x14ac:dyDescent="0.4">
      <c r="A21" s="24"/>
      <c r="I21" s="24"/>
    </row>
    <row r="22" spans="1:9" x14ac:dyDescent="0.4">
      <c r="A22" s="24"/>
      <c r="I22" s="24"/>
    </row>
    <row r="23" spans="1:9" x14ac:dyDescent="0.4">
      <c r="A23" s="24"/>
      <c r="I23" s="24"/>
    </row>
    <row r="24" spans="1:9" x14ac:dyDescent="0.4">
      <c r="A24" s="24"/>
      <c r="I24" s="24"/>
    </row>
    <row r="25" spans="1:9" x14ac:dyDescent="0.4">
      <c r="A25" s="24"/>
      <c r="I25" s="24"/>
    </row>
    <row r="26" spans="1:9" x14ac:dyDescent="0.4">
      <c r="A26" s="24"/>
      <c r="I26" s="24"/>
    </row>
    <row r="27" spans="1:9" x14ac:dyDescent="0.4">
      <c r="A27" s="24"/>
      <c r="I27" s="24"/>
    </row>
    <row r="28" spans="1:9" x14ac:dyDescent="0.4">
      <c r="A28" s="24"/>
      <c r="I28" s="24"/>
    </row>
    <row r="29" spans="1:9" x14ac:dyDescent="0.4">
      <c r="A29" s="24"/>
      <c r="I29" s="24"/>
    </row>
    <row r="30" spans="1:9" x14ac:dyDescent="0.4">
      <c r="A30" s="24"/>
      <c r="I30" s="24"/>
    </row>
    <row r="31" spans="1:9" x14ac:dyDescent="0.4">
      <c r="A31" s="24"/>
      <c r="I31" s="24"/>
    </row>
    <row r="32" spans="1:9" x14ac:dyDescent="0.4">
      <c r="A32" s="24"/>
      <c r="I32" s="24"/>
    </row>
    <row r="33" spans="1:9" x14ac:dyDescent="0.4">
      <c r="A33" s="24"/>
      <c r="I33" s="24"/>
    </row>
    <row r="34" spans="1:9" x14ac:dyDescent="0.4">
      <c r="A34" s="24"/>
      <c r="I34" s="24"/>
    </row>
    <row r="35" spans="1:9" x14ac:dyDescent="0.4">
      <c r="A35" s="24"/>
      <c r="B35" s="11"/>
      <c r="C35" s="11"/>
      <c r="D35" s="11"/>
      <c r="E35" s="11"/>
      <c r="F35" s="11"/>
      <c r="G35" s="11"/>
      <c r="H35" s="11"/>
      <c r="I35" s="24"/>
    </row>
    <row r="36" spans="1:9" x14ac:dyDescent="0.4">
      <c r="A36" s="24"/>
      <c r="B36" s="11"/>
      <c r="C36" s="11"/>
      <c r="D36" s="11"/>
      <c r="E36" s="11"/>
      <c r="F36" s="11"/>
      <c r="G36" s="11"/>
      <c r="H36" s="11"/>
      <c r="I36" s="24"/>
    </row>
    <row r="37" spans="1:9" x14ac:dyDescent="0.4">
      <c r="A37" s="24"/>
      <c r="B37" s="11"/>
      <c r="C37" s="11"/>
      <c r="D37" s="11"/>
      <c r="E37" s="11"/>
      <c r="F37" s="11"/>
      <c r="G37" s="11"/>
      <c r="H37" s="11"/>
      <c r="I37" s="24"/>
    </row>
    <row r="38" spans="1:9" x14ac:dyDescent="0.4">
      <c r="A38" s="24"/>
      <c r="B38" s="11"/>
      <c r="C38" s="11"/>
      <c r="D38" s="11"/>
      <c r="E38" s="11"/>
      <c r="F38" s="11"/>
      <c r="G38" s="11"/>
      <c r="H38" s="11"/>
      <c r="I38" s="24"/>
    </row>
    <row r="39" spans="1:9" x14ac:dyDescent="0.4">
      <c r="A39" s="24"/>
      <c r="B39" s="11"/>
      <c r="C39" s="11"/>
      <c r="D39" s="11"/>
      <c r="E39" s="11"/>
      <c r="F39" s="11"/>
      <c r="G39" s="11"/>
      <c r="H39" s="11"/>
      <c r="I39" s="24"/>
    </row>
    <row r="40" spans="1:9" x14ac:dyDescent="0.4">
      <c r="A40" s="24"/>
      <c r="B40" s="24"/>
      <c r="C40" s="24"/>
      <c r="D40" s="24"/>
      <c r="E40" s="24"/>
      <c r="F40" s="24"/>
      <c r="G40" s="24"/>
      <c r="H40" s="24"/>
      <c r="I40" s="24"/>
    </row>
  </sheetData>
  <sheetProtection sheet="1" objects="1" scenarios="1"/>
  <pageMargins left="0.70866141732283472" right="0.70866141732283472" top="0.74803149606299213" bottom="0.74803149606299213" header="0.31496062992125984" footer="0.31496062992125984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>
                <anchor moveWithCells="1" sizeWithCells="1">
                  <from>
                    <xdr:col>5</xdr:col>
                    <xdr:colOff>21771</xdr:colOff>
                    <xdr:row>4</xdr:row>
                    <xdr:rowOff>108857</xdr:rowOff>
                  </from>
                  <to>
                    <xdr:col>7</xdr:col>
                    <xdr:colOff>5443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MainMenu.GoHere">
                <anchor moveWithCells="1" sizeWithCells="1">
                  <from>
                    <xdr:col>1</xdr:col>
                    <xdr:colOff>625929</xdr:colOff>
                    <xdr:row>35</xdr:row>
                    <xdr:rowOff>10886</xdr:rowOff>
                  </from>
                  <to>
                    <xdr:col>3</xdr:col>
                    <xdr:colOff>304800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61FCE-76BE-4DA9-867D-52C243249042}">
  <sheetPr codeName="sAdminPremiums"/>
  <dimension ref="A1:I34"/>
  <sheetViews>
    <sheetView zoomScale="83" workbookViewId="0">
      <selection activeCell="D36" sqref="D36"/>
    </sheetView>
  </sheetViews>
  <sheetFormatPr defaultRowHeight="14.6" x14ac:dyDescent="0.4"/>
  <cols>
    <col min="1" max="1" width="3.15234375" customWidth="1"/>
    <col min="3" max="4" width="20.69140625" customWidth="1"/>
    <col min="5" max="5" width="9.53515625" customWidth="1"/>
    <col min="6" max="7" width="20.69140625" customWidth="1"/>
    <col min="8" max="8" width="3.53515625" customWidth="1"/>
    <col min="9" max="9" width="3" customWidth="1"/>
  </cols>
  <sheetData>
    <row r="1" spans="1:9" x14ac:dyDescent="0.4">
      <c r="A1" s="24"/>
      <c r="B1" s="24"/>
      <c r="C1" s="24"/>
      <c r="D1" s="24"/>
      <c r="E1" s="24"/>
      <c r="F1" s="24"/>
      <c r="G1" s="24"/>
      <c r="H1" s="24"/>
      <c r="I1" s="24"/>
    </row>
    <row r="2" spans="1:9" x14ac:dyDescent="0.4">
      <c r="A2" s="24"/>
      <c r="B2" s="21"/>
      <c r="C2" s="21"/>
      <c r="D2" s="21"/>
      <c r="E2" s="21"/>
      <c r="F2" s="21"/>
      <c r="G2" s="21"/>
      <c r="H2" s="21"/>
      <c r="I2" s="24"/>
    </row>
    <row r="3" spans="1:9" ht="41.15" x14ac:dyDescent="1.05">
      <c r="A3" s="24"/>
      <c r="B3" s="22" t="s">
        <v>105</v>
      </c>
      <c r="C3" s="21"/>
      <c r="D3" s="21"/>
      <c r="E3" s="21"/>
      <c r="F3" s="21"/>
      <c r="G3" s="21"/>
      <c r="H3" s="21"/>
      <c r="I3" s="24"/>
    </row>
    <row r="4" spans="1:9" ht="15" thickBot="1" x14ac:dyDescent="0.45">
      <c r="A4" s="24"/>
      <c r="B4" s="53"/>
      <c r="C4" s="53"/>
      <c r="D4" s="53"/>
      <c r="E4" s="53"/>
      <c r="F4" s="53"/>
      <c r="G4" s="53"/>
      <c r="H4" s="53"/>
      <c r="I4" s="24"/>
    </row>
    <row r="5" spans="1:9" x14ac:dyDescent="0.4">
      <c r="A5" s="24"/>
      <c r="B5" s="11"/>
      <c r="C5" s="11"/>
      <c r="D5" s="70"/>
      <c r="E5" s="11"/>
      <c r="F5" s="11"/>
      <c r="G5" s="11"/>
      <c r="H5" s="11"/>
      <c r="I5" s="24"/>
    </row>
    <row r="6" spans="1:9" x14ac:dyDescent="0.4">
      <c r="A6" s="24"/>
      <c r="I6" s="24"/>
    </row>
    <row r="7" spans="1:9" x14ac:dyDescent="0.4">
      <c r="A7" s="24"/>
      <c r="C7" t="s">
        <v>110</v>
      </c>
      <c r="F7" t="s">
        <v>111</v>
      </c>
      <c r="I7" s="24"/>
    </row>
    <row r="8" spans="1:9" x14ac:dyDescent="0.4">
      <c r="A8" s="24"/>
      <c r="C8" s="71" t="s">
        <v>106</v>
      </c>
      <c r="D8" s="71" t="s">
        <v>108</v>
      </c>
      <c r="F8" s="71" t="s">
        <v>107</v>
      </c>
      <c r="G8" s="71" t="s">
        <v>109</v>
      </c>
      <c r="I8" s="24"/>
    </row>
    <row r="9" spans="1:9" x14ac:dyDescent="0.4">
      <c r="A9" s="24"/>
      <c r="C9" s="10">
        <v>16</v>
      </c>
      <c r="D9" s="10">
        <v>1.2</v>
      </c>
      <c r="F9" s="10" t="s">
        <v>53</v>
      </c>
      <c r="G9" s="10">
        <v>500</v>
      </c>
      <c r="I9" s="24"/>
    </row>
    <row r="10" spans="1:9" x14ac:dyDescent="0.4">
      <c r="A10" s="24"/>
      <c r="C10" s="10">
        <v>21</v>
      </c>
      <c r="D10" s="10">
        <v>1.4</v>
      </c>
      <c r="F10" s="10" t="s">
        <v>54</v>
      </c>
      <c r="G10" s="10">
        <v>480</v>
      </c>
      <c r="I10" s="24"/>
    </row>
    <row r="11" spans="1:9" x14ac:dyDescent="0.4">
      <c r="A11" s="24"/>
      <c r="C11" s="10">
        <v>30</v>
      </c>
      <c r="D11" s="10">
        <v>1.3</v>
      </c>
      <c r="F11" s="10" t="s">
        <v>55</v>
      </c>
      <c r="G11" s="10">
        <v>490</v>
      </c>
      <c r="I11" s="24"/>
    </row>
    <row r="12" spans="1:9" x14ac:dyDescent="0.4">
      <c r="A12" s="24"/>
      <c r="C12" s="10">
        <v>43</v>
      </c>
      <c r="D12" s="10">
        <v>1.1000000000000001</v>
      </c>
      <c r="F12" s="10" t="s">
        <v>31</v>
      </c>
      <c r="G12" s="10">
        <v>530</v>
      </c>
      <c r="I12" s="24"/>
    </row>
    <row r="13" spans="1:9" x14ac:dyDescent="0.4">
      <c r="A13" s="24"/>
      <c r="C13" s="10">
        <v>58</v>
      </c>
      <c r="D13" s="10">
        <v>1.2</v>
      </c>
      <c r="F13" s="10" t="s">
        <v>56</v>
      </c>
      <c r="G13" s="10">
        <v>600</v>
      </c>
      <c r="I13" s="24"/>
    </row>
    <row r="14" spans="1:9" x14ac:dyDescent="0.4">
      <c r="A14" s="24"/>
      <c r="C14" s="10">
        <v>72</v>
      </c>
      <c r="D14" s="10">
        <v>1.4</v>
      </c>
      <c r="F14" s="10" t="s">
        <v>101</v>
      </c>
      <c r="G14" s="10">
        <v>450</v>
      </c>
      <c r="I14" s="24"/>
    </row>
    <row r="15" spans="1:9" x14ac:dyDescent="0.4">
      <c r="A15" s="24"/>
      <c r="C15" s="10">
        <v>80</v>
      </c>
      <c r="D15" s="10">
        <v>1.5</v>
      </c>
      <c r="I15" s="24"/>
    </row>
    <row r="16" spans="1:9" x14ac:dyDescent="0.4">
      <c r="A16" s="24"/>
      <c r="I16" s="24"/>
    </row>
    <row r="17" spans="1:9" x14ac:dyDescent="0.4">
      <c r="A17" s="24"/>
      <c r="I17" s="24"/>
    </row>
    <row r="18" spans="1:9" x14ac:dyDescent="0.4">
      <c r="A18" s="24"/>
      <c r="I18" s="24"/>
    </row>
    <row r="19" spans="1:9" x14ac:dyDescent="0.4">
      <c r="A19" s="24"/>
      <c r="I19" s="24"/>
    </row>
    <row r="20" spans="1:9" x14ac:dyDescent="0.4">
      <c r="A20" s="24"/>
      <c r="I20" s="24"/>
    </row>
    <row r="21" spans="1:9" x14ac:dyDescent="0.4">
      <c r="A21" s="24"/>
      <c r="I21" s="24"/>
    </row>
    <row r="22" spans="1:9" x14ac:dyDescent="0.4">
      <c r="A22" s="24"/>
      <c r="I22" s="24"/>
    </row>
    <row r="23" spans="1:9" x14ac:dyDescent="0.4">
      <c r="A23" s="24"/>
      <c r="I23" s="24"/>
    </row>
    <row r="24" spans="1:9" x14ac:dyDescent="0.4">
      <c r="A24" s="24"/>
      <c r="I24" s="24"/>
    </row>
    <row r="25" spans="1:9" x14ac:dyDescent="0.4">
      <c r="A25" s="24"/>
      <c r="I25" s="24"/>
    </row>
    <row r="26" spans="1:9" x14ac:dyDescent="0.4">
      <c r="A26" s="24"/>
      <c r="I26" s="24"/>
    </row>
    <row r="27" spans="1:9" x14ac:dyDescent="0.4">
      <c r="A27" s="24"/>
      <c r="I27" s="24"/>
    </row>
    <row r="28" spans="1:9" x14ac:dyDescent="0.4">
      <c r="A28" s="24"/>
      <c r="I28" s="24"/>
    </row>
    <row r="29" spans="1:9" x14ac:dyDescent="0.4">
      <c r="A29" s="24"/>
      <c r="I29" s="24"/>
    </row>
    <row r="30" spans="1:9" x14ac:dyDescent="0.4">
      <c r="A30" s="24"/>
      <c r="B30" s="11"/>
      <c r="C30" s="11"/>
      <c r="D30" s="11"/>
      <c r="E30" s="11"/>
      <c r="F30" s="11"/>
      <c r="G30" s="11"/>
      <c r="H30" s="11"/>
      <c r="I30" s="24"/>
    </row>
    <row r="31" spans="1:9" x14ac:dyDescent="0.4">
      <c r="A31" s="24"/>
      <c r="B31" s="11"/>
      <c r="C31" s="11"/>
      <c r="D31" s="11"/>
      <c r="E31" s="11"/>
      <c r="F31" s="11"/>
      <c r="G31" s="11"/>
      <c r="H31" s="11"/>
      <c r="I31" s="24"/>
    </row>
    <row r="32" spans="1:9" x14ac:dyDescent="0.4">
      <c r="A32" s="24"/>
      <c r="B32" s="11"/>
      <c r="C32" s="11"/>
      <c r="D32" s="11"/>
      <c r="E32" s="11"/>
      <c r="F32" s="11"/>
      <c r="G32" s="11"/>
      <c r="H32" s="11"/>
      <c r="I32" s="24"/>
    </row>
    <row r="33" spans="1:9" x14ac:dyDescent="0.4">
      <c r="A33" s="24"/>
      <c r="B33" s="11"/>
      <c r="C33" s="11"/>
      <c r="D33" s="11"/>
      <c r="E33" s="11"/>
      <c r="F33" s="11"/>
      <c r="G33" s="11"/>
      <c r="H33" s="11"/>
      <c r="I33" s="24"/>
    </row>
    <row r="34" spans="1:9" x14ac:dyDescent="0.4">
      <c r="A34" s="24"/>
      <c r="B34" s="24"/>
      <c r="C34" s="24"/>
      <c r="D34" s="24"/>
      <c r="E34" s="24"/>
      <c r="F34" s="24"/>
      <c r="G34" s="24"/>
      <c r="H34" s="24"/>
      <c r="I34" s="24"/>
    </row>
  </sheetData>
  <sheetProtection sheet="1" objects="1" scenarios="1"/>
  <pageMargins left="0.7" right="0.7" top="0.75" bottom="0.75" header="0.3" footer="0.3"/>
  <pageSetup paperSize="9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MainMenu.GoHere">
                <anchor moveWithCells="1" sizeWithCells="1">
                  <from>
                    <xdr:col>1</xdr:col>
                    <xdr:colOff>566057</xdr:colOff>
                    <xdr:row>29</xdr:row>
                    <xdr:rowOff>103414</xdr:rowOff>
                  </from>
                  <to>
                    <xdr:col>2</xdr:col>
                    <xdr:colOff>892629</xdr:colOff>
                    <xdr:row>32</xdr:row>
                    <xdr:rowOff>92529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0587-ADBA-4456-BEDC-E5DE299C4C8D}">
  <sheetPr codeName="sDatastore"/>
  <dimension ref="A1:T6"/>
  <sheetViews>
    <sheetView zoomScale="90" zoomScaleNormal="90" workbookViewId="0">
      <selection activeCell="H44" sqref="H44"/>
    </sheetView>
  </sheetViews>
  <sheetFormatPr defaultRowHeight="14.6" x14ac:dyDescent="0.4"/>
  <cols>
    <col min="2" max="2" width="11.23046875" style="66" customWidth="1"/>
    <col min="3" max="3" width="11.23046875" style="59" customWidth="1"/>
    <col min="4" max="4" width="10.3046875" style="65" customWidth="1"/>
    <col min="5" max="5" width="10.07421875" customWidth="1"/>
    <col min="6" max="6" width="11" customWidth="1"/>
    <col min="7" max="7" width="6.84375" customWidth="1"/>
    <col min="8" max="8" width="10.61328125" style="65" customWidth="1"/>
    <col min="9" max="9" width="12.3046875" customWidth="1"/>
    <col min="10" max="10" width="9.921875" customWidth="1"/>
    <col min="11" max="11" width="13" customWidth="1"/>
    <col min="12" max="12" width="8.4609375" customWidth="1"/>
    <col min="13" max="13" width="4.84375" style="65" customWidth="1"/>
    <col min="14" max="14" width="10.921875" customWidth="1"/>
    <col min="15" max="15" width="19.69140625" customWidth="1"/>
    <col min="16" max="16" width="12.23046875" customWidth="1"/>
    <col min="17" max="17" width="11.765625" style="65" customWidth="1"/>
    <col min="18" max="18" width="12" customWidth="1"/>
    <col min="19" max="19" width="11.4609375" style="65" customWidth="1"/>
  </cols>
  <sheetData>
    <row r="1" spans="1:20" x14ac:dyDescent="0.4">
      <c r="A1" t="s">
        <v>77</v>
      </c>
      <c r="B1" s="66" t="s">
        <v>92</v>
      </c>
      <c r="C1" s="59" t="s">
        <v>103</v>
      </c>
      <c r="D1" s="65" t="s">
        <v>4</v>
      </c>
      <c r="E1" t="s">
        <v>78</v>
      </c>
      <c r="F1" t="s">
        <v>79</v>
      </c>
      <c r="G1" t="s">
        <v>12</v>
      </c>
      <c r="H1" s="65" t="s">
        <v>84</v>
      </c>
      <c r="I1" t="s">
        <v>80</v>
      </c>
      <c r="J1" t="s">
        <v>81</v>
      </c>
      <c r="K1" t="s">
        <v>85</v>
      </c>
      <c r="L1" t="s">
        <v>82</v>
      </c>
      <c r="M1" s="65" t="s">
        <v>83</v>
      </c>
      <c r="N1" t="s">
        <v>86</v>
      </c>
      <c r="O1" t="s">
        <v>87</v>
      </c>
      <c r="P1" t="s">
        <v>88</v>
      </c>
      <c r="Q1" s="65" t="s">
        <v>89</v>
      </c>
      <c r="R1" t="s">
        <v>90</v>
      </c>
      <c r="S1" s="65" t="s">
        <v>104</v>
      </c>
      <c r="T1" t="s">
        <v>93</v>
      </c>
    </row>
    <row r="2" spans="1:20" x14ac:dyDescent="0.4">
      <c r="B2" s="67"/>
      <c r="C2" s="69"/>
    </row>
    <row r="3" spans="1:20" x14ac:dyDescent="0.4">
      <c r="B3" s="67"/>
      <c r="C3" s="69"/>
    </row>
    <row r="4" spans="1:20" x14ac:dyDescent="0.4">
      <c r="B4" s="67"/>
      <c r="C4" s="69"/>
      <c r="H4" s="68"/>
    </row>
    <row r="5" spans="1:20" x14ac:dyDescent="0.4">
      <c r="B5" s="67"/>
      <c r="C5" s="69"/>
    </row>
    <row r="6" spans="1:20" x14ac:dyDescent="0.4">
      <c r="B6" s="67"/>
      <c r="C6" s="69"/>
      <c r="H6" s="6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MainMenu.GoHere">
                <anchor moveWithCells="1" sizeWithCells="1">
                  <from>
                    <xdr:col>20</xdr:col>
                    <xdr:colOff>32657</xdr:colOff>
                    <xdr:row>0</xdr:row>
                    <xdr:rowOff>10886</xdr:rowOff>
                  </from>
                  <to>
                    <xdr:col>23</xdr:col>
                    <xdr:colOff>195943</xdr:colOff>
                    <xdr:row>6</xdr:row>
                    <xdr:rowOff>32657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57917-87C2-4998-BEB4-B2AA0FC86AC9}">
  <sheetPr codeName="sLookup"/>
  <dimension ref="B2:S30"/>
  <sheetViews>
    <sheetView zoomScaleNormal="100" workbookViewId="0">
      <selection activeCell="Q23" sqref="Q23"/>
    </sheetView>
  </sheetViews>
  <sheetFormatPr defaultRowHeight="14.6" x14ac:dyDescent="0.4"/>
  <cols>
    <col min="19" max="19" width="11.3046875" customWidth="1"/>
    <col min="21" max="21" width="17.07421875" customWidth="1"/>
    <col min="22" max="22" width="23.23046875" customWidth="1"/>
  </cols>
  <sheetData>
    <row r="2" spans="2:19" s="6" customFormat="1" x14ac:dyDescent="0.4">
      <c r="B2" s="5" t="s">
        <v>6</v>
      </c>
      <c r="C2" s="5"/>
      <c r="D2" s="5"/>
      <c r="F2" s="5" t="s">
        <v>9</v>
      </c>
      <c r="G2" s="5"/>
      <c r="I2" s="8" t="s">
        <v>29</v>
      </c>
      <c r="J2" s="8"/>
      <c r="L2" s="5" t="s">
        <v>11</v>
      </c>
      <c r="M2" s="5"/>
      <c r="O2" s="5" t="s">
        <v>14</v>
      </c>
      <c r="P2" s="5"/>
      <c r="R2" s="5" t="s">
        <v>59</v>
      </c>
      <c r="S2" s="5"/>
    </row>
    <row r="3" spans="2:19" x14ac:dyDescent="0.4">
      <c r="B3" s="4" t="s">
        <v>4</v>
      </c>
      <c r="C3" s="4" t="s">
        <v>5</v>
      </c>
      <c r="D3" s="4" t="s">
        <v>95</v>
      </c>
      <c r="F3" s="4" t="s">
        <v>30</v>
      </c>
      <c r="G3" s="4" t="s">
        <v>10</v>
      </c>
      <c r="I3" s="9" t="s">
        <v>100</v>
      </c>
      <c r="J3" s="9" t="s">
        <v>13</v>
      </c>
      <c r="L3" s="4" t="s">
        <v>12</v>
      </c>
      <c r="M3" s="4" t="s">
        <v>13</v>
      </c>
      <c r="O3" s="4" t="s">
        <v>15</v>
      </c>
      <c r="P3" s="4" t="s">
        <v>13</v>
      </c>
      <c r="R3" s="4" t="s">
        <v>60</v>
      </c>
      <c r="S3" s="4" t="s">
        <v>13</v>
      </c>
    </row>
    <row r="4" spans="2:19" x14ac:dyDescent="0.4">
      <c r="B4" s="77" t="s">
        <v>7</v>
      </c>
      <c r="C4" s="77" t="s">
        <v>8</v>
      </c>
      <c r="D4" s="77" t="s">
        <v>97</v>
      </c>
      <c r="F4" s="77" t="s">
        <v>53</v>
      </c>
      <c r="G4" s="77">
        <v>500</v>
      </c>
      <c r="I4" s="77">
        <v>0</v>
      </c>
      <c r="J4" s="77">
        <v>0.7</v>
      </c>
      <c r="L4" s="77" t="s">
        <v>36</v>
      </c>
      <c r="M4" s="77">
        <v>1.2</v>
      </c>
      <c r="O4" s="77">
        <v>16</v>
      </c>
      <c r="P4" s="77">
        <v>1.2</v>
      </c>
      <c r="R4" s="77" t="s">
        <v>61</v>
      </c>
      <c r="S4" s="77">
        <v>1.4</v>
      </c>
    </row>
    <row r="5" spans="2:19" x14ac:dyDescent="0.4">
      <c r="B5" s="77" t="s">
        <v>97</v>
      </c>
      <c r="C5" s="77" t="s">
        <v>5</v>
      </c>
      <c r="D5" s="77" t="s">
        <v>97</v>
      </c>
      <c r="F5" s="77" t="s">
        <v>54</v>
      </c>
      <c r="G5" s="77">
        <v>480</v>
      </c>
      <c r="I5" s="77">
        <v>1</v>
      </c>
      <c r="J5" s="77">
        <v>0.9</v>
      </c>
      <c r="L5" s="77" t="s">
        <v>37</v>
      </c>
      <c r="M5" s="77">
        <v>1.1000000000000001</v>
      </c>
      <c r="O5" s="77">
        <v>21</v>
      </c>
      <c r="P5" s="77">
        <v>1.4</v>
      </c>
      <c r="R5" s="77" t="s">
        <v>62</v>
      </c>
      <c r="S5" s="77">
        <v>1.2</v>
      </c>
    </row>
    <row r="6" spans="2:19" x14ac:dyDescent="0.4">
      <c r="B6" s="77" t="s">
        <v>96</v>
      </c>
      <c r="C6" s="77" t="s">
        <v>5</v>
      </c>
      <c r="D6" s="77" t="s">
        <v>96</v>
      </c>
      <c r="F6" s="77" t="s">
        <v>55</v>
      </c>
      <c r="G6" s="77">
        <v>490</v>
      </c>
      <c r="I6" s="77">
        <v>2</v>
      </c>
      <c r="J6" s="77">
        <v>1</v>
      </c>
      <c r="L6" s="34"/>
      <c r="M6" s="34"/>
      <c r="O6" s="77">
        <v>30</v>
      </c>
      <c r="P6" s="77">
        <v>1.3</v>
      </c>
      <c r="R6" s="77" t="s">
        <v>63</v>
      </c>
      <c r="S6" s="77">
        <v>1.1000000000000001</v>
      </c>
    </row>
    <row r="7" spans="2:19" x14ac:dyDescent="0.4">
      <c r="B7" s="77"/>
      <c r="C7" s="77"/>
      <c r="D7" s="77"/>
      <c r="F7" s="77" t="s">
        <v>31</v>
      </c>
      <c r="G7" s="77">
        <v>530</v>
      </c>
      <c r="I7" s="77">
        <v>2.2999999999999998</v>
      </c>
      <c r="J7" s="77">
        <v>1.2</v>
      </c>
      <c r="L7" s="4" t="s">
        <v>38</v>
      </c>
      <c r="M7" s="34"/>
      <c r="O7" s="77">
        <v>43</v>
      </c>
      <c r="P7" s="77">
        <v>1.1000000000000001</v>
      </c>
      <c r="R7" s="77" t="s">
        <v>64</v>
      </c>
      <c r="S7" s="77">
        <v>1</v>
      </c>
    </row>
    <row r="8" spans="2:19" x14ac:dyDescent="0.4">
      <c r="B8" s="77"/>
      <c r="C8" s="77"/>
      <c r="D8" s="77"/>
      <c r="F8" s="77" t="s">
        <v>56</v>
      </c>
      <c r="G8" s="77">
        <v>600</v>
      </c>
      <c r="I8" s="77">
        <v>3</v>
      </c>
      <c r="J8" s="77">
        <v>1.4</v>
      </c>
      <c r="L8" s="4"/>
      <c r="M8" s="34"/>
      <c r="O8" s="77">
        <v>58</v>
      </c>
      <c r="P8" s="77">
        <v>1.2</v>
      </c>
      <c r="R8" s="77" t="s">
        <v>65</v>
      </c>
      <c r="S8" s="77">
        <v>0.9</v>
      </c>
    </row>
    <row r="9" spans="2:19" x14ac:dyDescent="0.4">
      <c r="B9" s="77"/>
      <c r="C9" s="77"/>
      <c r="D9" s="77"/>
      <c r="F9" s="77" t="s">
        <v>101</v>
      </c>
      <c r="G9" s="77">
        <v>450</v>
      </c>
      <c r="I9" s="77">
        <v>4</v>
      </c>
      <c r="J9" s="77">
        <v>1.5</v>
      </c>
      <c r="L9" s="77" t="s">
        <v>39</v>
      </c>
      <c r="M9" s="34"/>
      <c r="O9" s="77">
        <v>72</v>
      </c>
      <c r="P9" s="77">
        <v>1.4</v>
      </c>
    </row>
    <row r="10" spans="2:19" x14ac:dyDescent="0.4">
      <c r="B10" s="77"/>
      <c r="C10" s="77"/>
      <c r="D10" s="77"/>
      <c r="F10" s="77"/>
      <c r="G10" s="77"/>
      <c r="I10" s="77"/>
      <c r="J10" s="77"/>
      <c r="L10" s="77" t="s">
        <v>40</v>
      </c>
      <c r="M10" s="34"/>
      <c r="O10" s="77">
        <v>80</v>
      </c>
      <c r="P10" s="77">
        <v>1.5</v>
      </c>
      <c r="R10" s="5" t="s">
        <v>74</v>
      </c>
      <c r="S10" s="5" t="s">
        <v>75</v>
      </c>
    </row>
    <row r="11" spans="2:19" x14ac:dyDescent="0.4">
      <c r="B11" s="77"/>
      <c r="C11" s="77"/>
      <c r="D11" s="77"/>
      <c r="F11" s="77"/>
      <c r="G11" s="77"/>
      <c r="I11" s="77"/>
      <c r="J11" s="77"/>
      <c r="L11" s="77" t="s">
        <v>41</v>
      </c>
      <c r="M11" s="34"/>
      <c r="O11" s="77"/>
      <c r="P11" s="77"/>
      <c r="R11" s="77">
        <v>8</v>
      </c>
      <c r="S11" s="77">
        <f>lCurrQID+1</f>
        <v>9</v>
      </c>
    </row>
    <row r="12" spans="2:19" x14ac:dyDescent="0.4">
      <c r="B12" s="77"/>
      <c r="C12" s="77"/>
      <c r="D12" s="77"/>
      <c r="F12" s="77"/>
      <c r="G12" s="77"/>
      <c r="I12" s="77"/>
      <c r="J12" s="77"/>
      <c r="L12" s="77" t="s">
        <v>42</v>
      </c>
      <c r="M12" s="34"/>
      <c r="O12" s="77"/>
      <c r="P12" s="77"/>
    </row>
    <row r="13" spans="2:19" x14ac:dyDescent="0.4">
      <c r="B13" s="77"/>
      <c r="C13" s="77"/>
      <c r="D13" s="77"/>
      <c r="F13" s="77"/>
      <c r="G13" s="77"/>
      <c r="I13" s="77"/>
      <c r="J13" s="77"/>
      <c r="L13" s="77" t="s">
        <v>43</v>
      </c>
      <c r="M13" s="34"/>
      <c r="O13" s="77"/>
      <c r="P13" s="77"/>
      <c r="R13" s="4" t="s">
        <v>91</v>
      </c>
      <c r="S13" s="4" t="s">
        <v>94</v>
      </c>
    </row>
    <row r="14" spans="2:19" x14ac:dyDescent="0.4">
      <c r="B14" s="77"/>
      <c r="C14" s="77"/>
      <c r="D14" s="77"/>
      <c r="F14" s="77"/>
      <c r="G14" s="77"/>
      <c r="I14" s="77"/>
      <c r="J14" s="77"/>
      <c r="L14" s="77" t="s">
        <v>44</v>
      </c>
      <c r="M14" s="34"/>
      <c r="O14" s="77"/>
      <c r="P14" s="77"/>
      <c r="R14" s="77"/>
      <c r="S14" s="78">
        <f ca="1">TODAY()</f>
        <v>43704</v>
      </c>
    </row>
    <row r="15" spans="2:19" x14ac:dyDescent="0.4">
      <c r="B15" s="77"/>
      <c r="C15" s="77"/>
      <c r="D15" s="77"/>
      <c r="F15" s="77"/>
      <c r="G15" s="77"/>
      <c r="I15" s="77"/>
      <c r="J15" s="77"/>
      <c r="L15" s="77" t="s">
        <v>45</v>
      </c>
      <c r="M15" s="34"/>
      <c r="O15" s="77"/>
      <c r="P15" s="77"/>
    </row>
    <row r="16" spans="2:19" x14ac:dyDescent="0.4">
      <c r="B16" s="77"/>
      <c r="C16" s="77"/>
      <c r="D16" s="77"/>
      <c r="F16" s="77"/>
      <c r="G16" s="77"/>
      <c r="I16" s="77"/>
      <c r="J16" s="77"/>
      <c r="L16" s="77" t="s">
        <v>46</v>
      </c>
      <c r="M16" s="34"/>
      <c r="O16" s="77"/>
      <c r="P16" s="77"/>
      <c r="R16" s="4" t="s">
        <v>98</v>
      </c>
    </row>
    <row r="17" spans="2:18" x14ac:dyDescent="0.4">
      <c r="B17" s="77"/>
      <c r="C17" s="77"/>
      <c r="D17" s="77"/>
      <c r="F17" s="77"/>
      <c r="G17" s="77"/>
      <c r="I17" s="77"/>
      <c r="J17" s="77"/>
      <c r="L17" s="34"/>
      <c r="M17" s="34"/>
      <c r="O17" s="77"/>
      <c r="P17" s="77"/>
      <c r="R17" s="77"/>
    </row>
    <row r="18" spans="2:18" x14ac:dyDescent="0.4">
      <c r="B18" s="77"/>
      <c r="C18" s="77"/>
      <c r="D18" s="77"/>
      <c r="F18" s="77"/>
      <c r="G18" s="77"/>
      <c r="I18" s="77"/>
      <c r="J18" s="77"/>
      <c r="L18" s="34"/>
      <c r="M18" s="34"/>
      <c r="O18" s="34"/>
      <c r="P18" s="34"/>
    </row>
    <row r="19" spans="2:18" x14ac:dyDescent="0.4">
      <c r="B19" s="77"/>
      <c r="C19" s="77"/>
      <c r="D19" s="77"/>
      <c r="F19" s="77"/>
      <c r="G19" s="77"/>
      <c r="I19" s="77"/>
      <c r="J19" s="77"/>
      <c r="L19" s="4" t="s">
        <v>48</v>
      </c>
      <c r="M19" s="4"/>
      <c r="N19" s="4"/>
      <c r="O19" s="4"/>
      <c r="P19" s="34"/>
    </row>
    <row r="20" spans="2:18" x14ac:dyDescent="0.4">
      <c r="B20" s="77"/>
      <c r="C20" s="77"/>
      <c r="D20" s="77"/>
      <c r="F20" s="77"/>
      <c r="G20" s="77"/>
      <c r="I20" s="77"/>
      <c r="J20" s="77"/>
      <c r="L20" s="4" t="s">
        <v>30</v>
      </c>
      <c r="M20" s="4" t="s">
        <v>13</v>
      </c>
      <c r="N20" s="4" t="s">
        <v>68</v>
      </c>
      <c r="O20" s="4" t="s">
        <v>69</v>
      </c>
      <c r="P20" s="34"/>
    </row>
    <row r="21" spans="2:18" x14ac:dyDescent="0.4">
      <c r="B21" s="77"/>
      <c r="C21" s="77"/>
      <c r="D21" s="77"/>
      <c r="F21" s="77"/>
      <c r="G21" s="77"/>
      <c r="I21" s="77"/>
      <c r="J21" s="77"/>
      <c r="L21" s="77" t="s">
        <v>49</v>
      </c>
      <c r="M21" s="77">
        <v>1</v>
      </c>
      <c r="N21" s="77">
        <v>12</v>
      </c>
      <c r="O21" s="77" t="s">
        <v>70</v>
      </c>
      <c r="P21" s="34"/>
    </row>
    <row r="22" spans="2:18" x14ac:dyDescent="0.4">
      <c r="B22" s="77"/>
      <c r="C22" s="77"/>
      <c r="D22" s="77"/>
      <c r="F22" s="77"/>
      <c r="G22" s="77"/>
      <c r="I22" s="77"/>
      <c r="J22" s="77"/>
      <c r="L22" s="77" t="s">
        <v>66</v>
      </c>
      <c r="M22" s="77">
        <v>0.95</v>
      </c>
      <c r="N22" s="77">
        <v>4</v>
      </c>
      <c r="O22" s="77" t="s">
        <v>71</v>
      </c>
      <c r="P22" s="34"/>
    </row>
    <row r="23" spans="2:18" x14ac:dyDescent="0.4">
      <c r="B23" s="77"/>
      <c r="C23" s="77"/>
      <c r="D23" s="77"/>
      <c r="F23" s="77"/>
      <c r="G23" s="77"/>
      <c r="I23" s="77"/>
      <c r="J23" s="77"/>
      <c r="L23" s="77" t="s">
        <v>67</v>
      </c>
      <c r="M23" s="77">
        <v>0.85</v>
      </c>
      <c r="N23" s="77">
        <v>1</v>
      </c>
      <c r="O23" s="77" t="s">
        <v>72</v>
      </c>
      <c r="P23" s="34"/>
    </row>
    <row r="24" spans="2:18" x14ac:dyDescent="0.4">
      <c r="B24" s="77"/>
      <c r="C24" s="77"/>
      <c r="D24" s="77"/>
      <c r="F24" s="77"/>
      <c r="G24" s="77"/>
      <c r="I24" s="77"/>
      <c r="J24" s="77"/>
      <c r="L24" s="34"/>
      <c r="M24" s="34"/>
      <c r="O24" s="34"/>
      <c r="P24" s="34"/>
    </row>
    <row r="25" spans="2:18" x14ac:dyDescent="0.4">
      <c r="B25" s="77"/>
      <c r="C25" s="77"/>
      <c r="D25" s="77"/>
      <c r="F25" s="77"/>
      <c r="G25" s="77"/>
      <c r="I25" s="77"/>
      <c r="J25" s="77"/>
      <c r="L25" s="34"/>
      <c r="M25" s="34"/>
      <c r="O25" s="34"/>
      <c r="P25" s="34"/>
    </row>
    <row r="26" spans="2:18" x14ac:dyDescent="0.4">
      <c r="B26" s="77"/>
      <c r="C26" s="77"/>
      <c r="D26" s="77"/>
      <c r="F26" s="77"/>
      <c r="G26" s="77"/>
      <c r="I26" s="77"/>
      <c r="J26" s="77"/>
      <c r="L26" s="34"/>
      <c r="M26" s="34"/>
      <c r="O26" s="34"/>
      <c r="P26" s="34"/>
    </row>
    <row r="27" spans="2:18" x14ac:dyDescent="0.4">
      <c r="B27" s="77"/>
      <c r="C27" s="77"/>
      <c r="D27" s="77"/>
      <c r="F27" s="77"/>
      <c r="G27" s="77"/>
      <c r="I27" s="77"/>
      <c r="J27" s="77"/>
      <c r="L27" s="34"/>
      <c r="M27" s="34"/>
      <c r="O27" s="34"/>
      <c r="P27" s="34"/>
    </row>
    <row r="28" spans="2:18" x14ac:dyDescent="0.4">
      <c r="B28" s="77"/>
      <c r="C28" s="77"/>
      <c r="D28" s="77"/>
      <c r="F28" s="77"/>
      <c r="G28" s="77"/>
      <c r="I28" s="77"/>
      <c r="J28" s="77"/>
      <c r="L28" s="34"/>
      <c r="M28" s="34"/>
      <c r="O28" s="34"/>
      <c r="P28" s="34"/>
    </row>
    <row r="29" spans="2:18" x14ac:dyDescent="0.4">
      <c r="B29" s="77"/>
      <c r="C29" s="77"/>
      <c r="D29" s="77"/>
      <c r="F29" s="77"/>
      <c r="G29" s="77"/>
      <c r="I29" s="77"/>
      <c r="J29" s="77"/>
      <c r="L29" s="34"/>
      <c r="M29" s="34"/>
      <c r="O29" s="34"/>
      <c r="P29" s="34"/>
    </row>
    <row r="30" spans="2:18" x14ac:dyDescent="0.4">
      <c r="B30" s="77"/>
      <c r="C30" s="77"/>
      <c r="D30" s="77"/>
      <c r="F30" s="77"/>
      <c r="G30" s="77"/>
      <c r="I30" s="77"/>
      <c r="J30" s="77"/>
      <c r="L30" s="34"/>
      <c r="M30" s="34"/>
      <c r="O30" s="34"/>
      <c r="P30" s="34"/>
    </row>
  </sheetData>
  <sheetProtection sheet="1" objects="1" scenarios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MainMenu.GoHere">
                <anchor moveWithCells="1" sizeWithCells="1">
                  <from>
                    <xdr:col>11</xdr:col>
                    <xdr:colOff>0</xdr:colOff>
                    <xdr:row>24</xdr:row>
                    <xdr:rowOff>21771</xdr:rowOff>
                  </from>
                  <to>
                    <xdr:col>14</xdr:col>
                    <xdr:colOff>10886</xdr:colOff>
                    <xdr:row>29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BFEA3A6-BEDB-4686-9AAF-8C810024D5F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5CDE62CE-9DFF-48BC-894B-ACB5B9F651C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55</vt:i4>
      </vt:variant>
    </vt:vector>
  </HeadingPairs>
  <TitlesOfParts>
    <vt:vector size="62" baseType="lpstr">
      <vt:lpstr>Login</vt:lpstr>
      <vt:lpstr>Main Menu</vt:lpstr>
      <vt:lpstr>Quote Entry</vt:lpstr>
      <vt:lpstr>Quotation</vt:lpstr>
      <vt:lpstr>Admin Premiums</vt:lpstr>
      <vt:lpstr>Datastore</vt:lpstr>
      <vt:lpstr>Lookup</vt:lpstr>
      <vt:lpstr>cDEBUG</vt:lpstr>
      <vt:lpstr>cDEBUGMENU</vt:lpstr>
      <vt:lpstr>cEntryClassification</vt:lpstr>
      <vt:lpstr>cEntryDate</vt:lpstr>
      <vt:lpstr>cEntryDOB</vt:lpstr>
      <vt:lpstr>cEntryFirstname</vt:lpstr>
      <vt:lpstr>cEntryGender</vt:lpstr>
      <vt:lpstr>cEntryLastname</vt:lpstr>
      <vt:lpstr>cEntryManufacturer</vt:lpstr>
      <vt:lpstr>cEntryModel</vt:lpstr>
      <vt:lpstr>cEntryPlan</vt:lpstr>
      <vt:lpstr>cEntryPostcode</vt:lpstr>
      <vt:lpstr>cEntryPower</vt:lpstr>
      <vt:lpstr>cEntryQuoteId</vt:lpstr>
      <vt:lpstr>cEntryResidenceClass</vt:lpstr>
      <vt:lpstr>cEntryState</vt:lpstr>
      <vt:lpstr>cEntryStreetAddress</vt:lpstr>
      <vt:lpstr>cEntrySuburb</vt:lpstr>
      <vt:lpstr>cErrEntryClassification</vt:lpstr>
      <vt:lpstr>cErrEntryDOB</vt:lpstr>
      <vt:lpstr>cErrEntryFirstname</vt:lpstr>
      <vt:lpstr>cErrEntryGender</vt:lpstr>
      <vt:lpstr>cErrEntryLastname</vt:lpstr>
      <vt:lpstr>cErrEntryManufacturer</vt:lpstr>
      <vt:lpstr>cErrEntryModel</vt:lpstr>
      <vt:lpstr>cErrEntryPlan</vt:lpstr>
      <vt:lpstr>cErrEntryPostcode</vt:lpstr>
      <vt:lpstr>cErrEntryPower</vt:lpstr>
      <vt:lpstr>cErrEntryResidenceClass</vt:lpstr>
      <vt:lpstr>cErrEntryState</vt:lpstr>
      <vt:lpstr>cErrEntryStreetAddress</vt:lpstr>
      <vt:lpstr>cErrEntrySuburb</vt:lpstr>
      <vt:lpstr>cErrNumPriorClaims</vt:lpstr>
      <vt:lpstr>cLoginError</vt:lpstr>
      <vt:lpstr>cNumPriorClaims</vt:lpstr>
      <vt:lpstr>cPassword</vt:lpstr>
      <vt:lpstr>cTextAnnual</vt:lpstr>
      <vt:lpstr>cTextAnnualDiscount</vt:lpstr>
      <vt:lpstr>cUsername</vt:lpstr>
      <vt:lpstr>cViewQuoteId</vt:lpstr>
      <vt:lpstr>lBasePremiumCar</vt:lpstr>
      <vt:lpstr>lCurrDate</vt:lpstr>
      <vt:lpstr>lCurrQID</vt:lpstr>
      <vt:lpstr>lCurrUser</vt:lpstr>
      <vt:lpstr>lCurrUserLevel</vt:lpstr>
      <vt:lpstr>lFactorAge</vt:lpstr>
      <vt:lpstr>lFactorGender</vt:lpstr>
      <vt:lpstr>lFactorPower</vt:lpstr>
      <vt:lpstr>lFactorResidenceClass</vt:lpstr>
      <vt:lpstr>lNextQID</vt:lpstr>
      <vt:lpstr>lPlans</vt:lpstr>
      <vt:lpstr>lStates</vt:lpstr>
      <vt:lpstr>lUser</vt:lpstr>
      <vt:lpstr>'Admin Premiums'!Print_Area</vt:lpstr>
      <vt:lpstr>Quotation!Print_Area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Lenehan</dc:creator>
  <cp:lastModifiedBy>Oliver Lenehan</cp:lastModifiedBy>
  <cp:lastPrinted>2019-08-26T18:57:00Z</cp:lastPrinted>
  <dcterms:created xsi:type="dcterms:W3CDTF">2019-06-18T23:40:13Z</dcterms:created>
  <dcterms:modified xsi:type="dcterms:W3CDTF">2019-08-26T20:20:52Z</dcterms:modified>
</cp:coreProperties>
</file>